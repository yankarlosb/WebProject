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iber\Entrega 2024\Carga_Docente\2025 - 2026\2025-2026.1\"/>
    </mc:Choice>
  </mc:AlternateContent>
  <xr:revisionPtr revIDLastSave="0" documentId="13_ncr:1_{F078CD1D-DEBF-4919-BE39-B75718CF7356}" xr6:coauthVersionLast="47" xr6:coauthVersionMax="47" xr10:uidLastSave="{00000000-0000-0000-0000-000000000000}"/>
  <bookViews>
    <workbookView xWindow="-108" yWindow="-108" windowWidth="23256" windowHeight="12456" tabRatio="769" activeTab="3" xr2:uid="{00000000-000D-0000-FFFF-FFFF00000000}"/>
  </bookViews>
  <sheets>
    <sheet name="Presentación" sheetId="5" r:id="rId1"/>
    <sheet name="1ro.ICS" sheetId="4" r:id="rId2"/>
    <sheet name="2do.ICS" sheetId="3" r:id="rId3"/>
    <sheet name="3ro.ICS" sheetId="2" r:id="rId4"/>
    <sheet name="4to.ICS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1" l="1"/>
  <c r="C18" i="1"/>
  <c r="B18" i="1" s="1"/>
  <c r="D18" i="1"/>
  <c r="E18" i="1"/>
  <c r="F18" i="1"/>
  <c r="G18" i="1"/>
  <c r="H18" i="1"/>
  <c r="B17" i="1"/>
  <c r="C17" i="1"/>
  <c r="D17" i="1"/>
  <c r="E17" i="1"/>
  <c r="F17" i="1"/>
  <c r="G17" i="1"/>
  <c r="H17" i="1"/>
  <c r="I17" i="1"/>
  <c r="BM1" i="4"/>
  <c r="BR1" i="4" s="1"/>
  <c r="BW1" i="4" s="1"/>
  <c r="CB1" i="4" s="1"/>
  <c r="BJ1" i="4"/>
  <c r="BO1" i="4" s="1"/>
  <c r="BT1" i="4" s="1"/>
  <c r="BY1" i="4" s="1"/>
  <c r="BM1" i="3"/>
  <c r="BR1" i="3" s="1"/>
  <c r="BW1" i="3" s="1"/>
  <c r="CB1" i="3" s="1"/>
  <c r="BJ1" i="3"/>
  <c r="BO1" i="3" s="1"/>
  <c r="BT1" i="3" s="1"/>
  <c r="BY1" i="3" s="1"/>
  <c r="BJ1" i="2"/>
  <c r="BM1" i="2"/>
  <c r="BR1" i="2" s="1"/>
  <c r="BW1" i="2" s="1"/>
  <c r="CB1" i="2" s="1"/>
  <c r="BO1" i="2"/>
  <c r="BT1" i="2" s="1"/>
  <c r="BY1" i="2" s="1"/>
  <c r="BY1" i="1"/>
  <c r="CD1" i="1" s="1"/>
  <c r="CI1" i="1" s="1"/>
  <c r="CN1" i="1" s="1"/>
  <c r="D1" i="3"/>
  <c r="F1" i="3"/>
  <c r="H1" i="3"/>
  <c r="J1" i="3"/>
  <c r="L1" i="3"/>
  <c r="N1" i="3"/>
  <c r="P1" i="3"/>
  <c r="R1" i="3"/>
  <c r="V1" i="3" s="1"/>
  <c r="Z1" i="3" s="1"/>
  <c r="AD1" i="3" s="1"/>
  <c r="AH1" i="3" s="1"/>
  <c r="AL1" i="3" s="1"/>
  <c r="AP1" i="3" s="1"/>
  <c r="AT1" i="3" s="1"/>
  <c r="AX1" i="3" s="1"/>
  <c r="BB1" i="3" s="1"/>
  <c r="T1" i="3"/>
  <c r="X1" i="3" s="1"/>
  <c r="AB1" i="3" s="1"/>
  <c r="AF1" i="3" s="1"/>
  <c r="AJ1" i="3" s="1"/>
  <c r="AN1" i="3" s="1"/>
  <c r="AR1" i="3" s="1"/>
  <c r="AV1" i="3" s="1"/>
  <c r="AZ1" i="3" s="1"/>
  <c r="BD1" i="3" s="1"/>
  <c r="C14" i="3"/>
  <c r="D14" i="3"/>
  <c r="E14" i="3"/>
  <c r="F14" i="3"/>
  <c r="G14" i="3"/>
  <c r="H14" i="3"/>
  <c r="I14" i="3"/>
  <c r="J14" i="3"/>
  <c r="C15" i="3"/>
  <c r="D15" i="3"/>
  <c r="E15" i="3"/>
  <c r="F15" i="3"/>
  <c r="G15" i="3"/>
  <c r="H15" i="3"/>
  <c r="I15" i="3"/>
  <c r="J15" i="3"/>
  <c r="C16" i="3"/>
  <c r="D16" i="3"/>
  <c r="E16" i="3"/>
  <c r="F16" i="3"/>
  <c r="G16" i="3"/>
  <c r="H16" i="3"/>
  <c r="I16" i="3"/>
  <c r="J16" i="3"/>
  <c r="C17" i="3"/>
  <c r="D17" i="3"/>
  <c r="E17" i="3"/>
  <c r="F17" i="3"/>
  <c r="G17" i="3"/>
  <c r="H17" i="3"/>
  <c r="I17" i="3"/>
  <c r="J17" i="3"/>
  <c r="C18" i="3"/>
  <c r="D18" i="3"/>
  <c r="E18" i="3"/>
  <c r="F18" i="3"/>
  <c r="G18" i="3"/>
  <c r="H18" i="3"/>
  <c r="I18" i="3"/>
  <c r="J18" i="3"/>
  <c r="C19" i="3"/>
  <c r="D19" i="3"/>
  <c r="E19" i="3"/>
  <c r="F19" i="3"/>
  <c r="G19" i="3"/>
  <c r="H19" i="3"/>
  <c r="I19" i="3"/>
  <c r="J19" i="3"/>
  <c r="BW1" i="1"/>
  <c r="G1" i="1"/>
  <c r="L1" i="1" s="1"/>
  <c r="Q1" i="1" s="1"/>
  <c r="V1" i="1" s="1"/>
  <c r="AA1" i="1" s="1"/>
  <c r="AF1" i="1" s="1"/>
  <c r="AK1" i="1" s="1"/>
  <c r="AP1" i="1" s="1"/>
  <c r="AU1" i="1" s="1"/>
  <c r="AZ1" i="1" s="1"/>
  <c r="BE1" i="1" s="1"/>
  <c r="BJ1" i="1" s="1"/>
  <c r="BO1" i="1" s="1"/>
  <c r="E1" i="1"/>
  <c r="J1" i="1" s="1"/>
  <c r="O1" i="1" s="1"/>
  <c r="T1" i="1" s="1"/>
  <c r="Y1" i="1" s="1"/>
  <c r="AD1" i="1" s="1"/>
  <c r="AI1" i="1" s="1"/>
  <c r="AN1" i="1" s="1"/>
  <c r="AS1" i="1" s="1"/>
  <c r="AX1" i="1" s="1"/>
  <c r="BC1" i="1" s="1"/>
  <c r="BH1" i="1" s="1"/>
  <c r="BM1" i="1" s="1"/>
  <c r="BR1" i="1" s="1"/>
  <c r="BH1" i="2"/>
  <c r="F1" i="2"/>
  <c r="J1" i="2" s="1"/>
  <c r="N1" i="2" s="1"/>
  <c r="R1" i="2" s="1"/>
  <c r="V1" i="2" s="1"/>
  <c r="Z1" i="2" s="1"/>
  <c r="AD1" i="2" s="1"/>
  <c r="AH1" i="2" s="1"/>
  <c r="AL1" i="2" s="1"/>
  <c r="AP1" i="2" s="1"/>
  <c r="AT1" i="2" s="1"/>
  <c r="AX1" i="2" s="1"/>
  <c r="BB1" i="2" s="1"/>
  <c r="D1" i="2"/>
  <c r="H1" i="2" s="1"/>
  <c r="L1" i="2" s="1"/>
  <c r="P1" i="2" s="1"/>
  <c r="T1" i="2" s="1"/>
  <c r="X1" i="2" s="1"/>
  <c r="AB1" i="2" s="1"/>
  <c r="AF1" i="2" s="1"/>
  <c r="AJ1" i="2" s="1"/>
  <c r="AN1" i="2" s="1"/>
  <c r="AR1" i="2" s="1"/>
  <c r="AV1" i="2" s="1"/>
  <c r="AZ1" i="2" s="1"/>
  <c r="BD1" i="2" s="1"/>
  <c r="BH1" i="3"/>
  <c r="BH1" i="4"/>
  <c r="J18" i="1"/>
  <c r="J18" i="2"/>
  <c r="I18" i="2"/>
  <c r="H18" i="2"/>
  <c r="G18" i="2"/>
  <c r="F18" i="2"/>
  <c r="E18" i="2"/>
  <c r="D18" i="2"/>
  <c r="C18" i="2"/>
  <c r="C19" i="1"/>
  <c r="D19" i="1"/>
  <c r="E19" i="1"/>
  <c r="F19" i="1"/>
  <c r="G19" i="1"/>
  <c r="H19" i="1"/>
  <c r="I19" i="1"/>
  <c r="C20" i="1"/>
  <c r="D20" i="1"/>
  <c r="E20" i="1"/>
  <c r="F20" i="1"/>
  <c r="G20" i="1"/>
  <c r="H20" i="1"/>
  <c r="I20" i="1"/>
  <c r="G15" i="1"/>
  <c r="E15" i="1"/>
  <c r="D15" i="1"/>
  <c r="C15" i="1"/>
  <c r="D16" i="1"/>
  <c r="C16" i="1"/>
  <c r="I16" i="1"/>
  <c r="I14" i="1"/>
  <c r="H16" i="1"/>
  <c r="H14" i="1"/>
  <c r="G16" i="1"/>
  <c r="G14" i="1"/>
  <c r="F16" i="1"/>
  <c r="F14" i="1"/>
  <c r="E16" i="1"/>
  <c r="E14" i="1"/>
  <c r="D14" i="1"/>
  <c r="C14" i="1"/>
  <c r="I15" i="1"/>
  <c r="H15" i="1"/>
  <c r="F15" i="1"/>
  <c r="CB1" i="1" l="1"/>
  <c r="CG1" i="1" s="1"/>
  <c r="CL1" i="1" s="1"/>
  <c r="CQ1" i="1" s="1"/>
  <c r="B16" i="3"/>
  <c r="K16" i="3" s="1"/>
  <c r="B15" i="3"/>
  <c r="K15" i="3" s="1"/>
  <c r="B19" i="3"/>
  <c r="K19" i="3" s="1"/>
  <c r="B17" i="3"/>
  <c r="K17" i="3" s="1"/>
  <c r="B18" i="3"/>
  <c r="B14" i="3"/>
  <c r="K14" i="3" s="1"/>
  <c r="K18" i="3"/>
  <c r="K18" i="1"/>
  <c r="B18" i="2"/>
  <c r="K18" i="2" s="1"/>
  <c r="B20" i="1"/>
  <c r="B19" i="1"/>
  <c r="B14" i="1"/>
  <c r="K14" i="1" s="1"/>
  <c r="B16" i="1"/>
  <c r="B15" i="1"/>
  <c r="K15" i="1" s="1"/>
  <c r="D17" i="2"/>
  <c r="C17" i="2"/>
  <c r="E14" i="2"/>
  <c r="D14" i="2"/>
  <c r="C14" i="2"/>
  <c r="J14" i="2"/>
  <c r="I14" i="2"/>
  <c r="H14" i="2"/>
  <c r="G14" i="2"/>
  <c r="F14" i="2"/>
  <c r="J17" i="2"/>
  <c r="I17" i="2"/>
  <c r="H17" i="2"/>
  <c r="G17" i="2"/>
  <c r="F17" i="2"/>
  <c r="E17" i="2"/>
  <c r="D16" i="2"/>
  <c r="E16" i="2"/>
  <c r="F16" i="2"/>
  <c r="G16" i="2"/>
  <c r="H16" i="2"/>
  <c r="I16" i="2"/>
  <c r="J16" i="2"/>
  <c r="C16" i="2"/>
  <c r="C15" i="2"/>
  <c r="C13" i="2"/>
  <c r="D19" i="2"/>
  <c r="E19" i="2"/>
  <c r="F19" i="2"/>
  <c r="G19" i="2"/>
  <c r="H19" i="2"/>
  <c r="I19" i="2"/>
  <c r="J19" i="2"/>
  <c r="J15" i="2"/>
  <c r="D15" i="2"/>
  <c r="E15" i="2"/>
  <c r="F15" i="2"/>
  <c r="G15" i="2"/>
  <c r="H15" i="2"/>
  <c r="I15" i="2"/>
  <c r="D13" i="2"/>
  <c r="E13" i="2"/>
  <c r="F13" i="2"/>
  <c r="G13" i="2"/>
  <c r="H13" i="2"/>
  <c r="I13" i="2"/>
  <c r="J13" i="2"/>
  <c r="C19" i="2"/>
  <c r="B19" i="2" l="1"/>
  <c r="I14" i="4"/>
  <c r="I15" i="4"/>
  <c r="I16" i="4"/>
  <c r="I18" i="4"/>
  <c r="I19" i="4"/>
  <c r="H14" i="4"/>
  <c r="H15" i="4"/>
  <c r="H16" i="4"/>
  <c r="H18" i="4"/>
  <c r="H19" i="4"/>
  <c r="G14" i="4"/>
  <c r="G15" i="4"/>
  <c r="G16" i="4"/>
  <c r="G18" i="4"/>
  <c r="G19" i="4"/>
  <c r="C18" i="4"/>
  <c r="C19" i="4"/>
  <c r="D18" i="4"/>
  <c r="D19" i="4"/>
  <c r="E18" i="4"/>
  <c r="E19" i="4"/>
  <c r="F18" i="4"/>
  <c r="F19" i="4"/>
  <c r="F14" i="4"/>
  <c r="F15" i="4"/>
  <c r="F16" i="4"/>
  <c r="E14" i="4"/>
  <c r="E15" i="4"/>
  <c r="E16" i="4"/>
  <c r="D14" i="4"/>
  <c r="D15" i="4"/>
  <c r="D16" i="4"/>
  <c r="C14" i="4"/>
  <c r="C15" i="4"/>
  <c r="C16" i="4"/>
  <c r="E17" i="4"/>
  <c r="F17" i="4"/>
  <c r="G17" i="4"/>
  <c r="H17" i="4"/>
  <c r="I17" i="4"/>
  <c r="D17" i="4"/>
  <c r="C17" i="4"/>
  <c r="F1" i="4"/>
  <c r="J1" i="4" s="1"/>
  <c r="N1" i="4" s="1"/>
  <c r="R1" i="4" s="1"/>
  <c r="V1" i="4" s="1"/>
  <c r="Z1" i="4" s="1"/>
  <c r="AD1" i="4" s="1"/>
  <c r="AH1" i="4" s="1"/>
  <c r="AL1" i="4" s="1"/>
  <c r="AP1" i="4" s="1"/>
  <c r="AT1" i="4" s="1"/>
  <c r="AX1" i="4" s="1"/>
  <c r="BB1" i="4" s="1"/>
  <c r="D1" i="4"/>
  <c r="H1" i="4" s="1"/>
  <c r="L1" i="4" s="1"/>
  <c r="P1" i="4" s="1"/>
  <c r="T1" i="4" s="1"/>
  <c r="X1" i="4" s="1"/>
  <c r="AB1" i="4" s="1"/>
  <c r="AF1" i="4" s="1"/>
  <c r="AJ1" i="4" s="1"/>
  <c r="AN1" i="4" s="1"/>
  <c r="AR1" i="4" s="1"/>
  <c r="AV1" i="4" s="1"/>
  <c r="AZ1" i="4" s="1"/>
  <c r="BD1" i="4" s="1"/>
  <c r="B18" i="4" l="1"/>
  <c r="J18" i="4" s="1"/>
  <c r="B19" i="4"/>
  <c r="J19" i="4" s="1"/>
  <c r="B16" i="4" l="1"/>
  <c r="J16" i="4" s="1"/>
  <c r="B17" i="4"/>
  <c r="J17" i="4" s="1"/>
  <c r="B15" i="4"/>
  <c r="J15" i="4" s="1"/>
  <c r="B14" i="4" l="1"/>
  <c r="J14" i="4" s="1"/>
  <c r="B16" i="2" l="1"/>
  <c r="K16" i="2" s="1"/>
  <c r="B13" i="2"/>
  <c r="K13" i="2" s="1"/>
  <c r="B17" i="2" l="1"/>
  <c r="K17" i="2" s="1"/>
  <c r="B14" i="2"/>
  <c r="K14" i="2" s="1"/>
  <c r="B15" i="2"/>
  <c r="K15" i="2" s="1"/>
</calcChain>
</file>

<file path=xl/sharedStrings.xml><?xml version="1.0" encoding="utf-8"?>
<sst xmlns="http://schemas.openxmlformats.org/spreadsheetml/2006/main" count="860" uniqueCount="74">
  <si>
    <t>Asignaturas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</si>
  <si>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</si>
  <si>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</si>
  <si>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</si>
  <si>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</si>
  <si>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</si>
  <si>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</si>
  <si>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</si>
  <si>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</si>
  <si>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</si>
  <si>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</si>
  <si>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</si>
  <si>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C</t>
  </si>
  <si>
    <t>S</t>
  </si>
  <si>
    <t>CP</t>
  </si>
  <si>
    <t>PP</t>
  </si>
  <si>
    <t>TE</t>
  </si>
  <si>
    <t>Total</t>
  </si>
  <si>
    <t>T</t>
  </si>
  <si>
    <t>Coef.</t>
  </si>
  <si>
    <t>Elementos de diseño de sistemas web</t>
  </si>
  <si>
    <t>2.Probabilidades y estadística</t>
  </si>
  <si>
    <t>3.Educación Física III</t>
  </si>
  <si>
    <t>4.Estructuras de datos y algoritmos</t>
  </si>
  <si>
    <t>Arquitectura de Computadoras</t>
  </si>
  <si>
    <t>1.Economía Política</t>
  </si>
  <si>
    <t>5.Arquitectura de Computadoras</t>
  </si>
  <si>
    <t>6.Redes de datos</t>
  </si>
  <si>
    <t>Educación Física I</t>
  </si>
  <si>
    <t>Matemática Discreta</t>
  </si>
  <si>
    <t>Introducción a la Ciberseguridad I</t>
  </si>
  <si>
    <t>Educación Física III</t>
  </si>
  <si>
    <t>Seguridad en el desarrollo de software</t>
  </si>
  <si>
    <t>Seguridad en redes</t>
  </si>
  <si>
    <t xml:space="preserve">Filosofía </t>
  </si>
  <si>
    <t>Seguridad Nacional</t>
  </si>
  <si>
    <t>Gestión de incidentes e informática forense</t>
  </si>
  <si>
    <t>Cálculo diferencial e integral</t>
  </si>
  <si>
    <t>Gestión de la ciberseguridad</t>
  </si>
  <si>
    <t>Protección contra programas malignos</t>
  </si>
  <si>
    <t>Seguridad en infraestructuras críticas</t>
  </si>
  <si>
    <t>Redes de datos</t>
  </si>
  <si>
    <t>Optativa I</t>
  </si>
  <si>
    <t>Semana 12</t>
  </si>
  <si>
    <t>Semana 13</t>
  </si>
  <si>
    <t>Semana 14</t>
  </si>
  <si>
    <t>Semana 15</t>
  </si>
  <si>
    <t>EF</t>
  </si>
  <si>
    <t>X</t>
  </si>
  <si>
    <t>PL</t>
  </si>
  <si>
    <t>EC</t>
  </si>
  <si>
    <t>Proyecto de Investigación y Desarrollo II</t>
  </si>
  <si>
    <t>PLAB</t>
  </si>
  <si>
    <t xml:space="preserve"> </t>
  </si>
  <si>
    <t>TC</t>
  </si>
  <si>
    <t>Optativa II</t>
  </si>
  <si>
    <t>Optativa III</t>
  </si>
  <si>
    <t>Balance de Carga Docente</t>
  </si>
  <si>
    <t>Carrera Ingeniería en Ciberseguridad</t>
  </si>
  <si>
    <t>M. Sc. Antonio Hernández Dominguez</t>
  </si>
  <si>
    <t>Jefe de Colectivo de Carrera</t>
  </si>
  <si>
    <r>
      <rPr>
        <b/>
        <sz val="12"/>
        <color theme="1"/>
        <rFont val="Arial"/>
        <family val="2"/>
      </rPr>
      <t xml:space="preserve">Período: </t>
    </r>
    <r>
      <rPr>
        <sz val="12"/>
        <color theme="1"/>
        <rFont val="Arial"/>
        <family val="2"/>
      </rPr>
      <t>1ero</t>
    </r>
  </si>
  <si>
    <t>Estudios Sociales de la Ciencia y la Tecnología</t>
  </si>
  <si>
    <t>Economía Política</t>
  </si>
  <si>
    <t>Probabilidades y estadística</t>
  </si>
  <si>
    <t>Estructuras de datos y algoritmos</t>
  </si>
  <si>
    <t>Redacción de Textos Científicos (Electiva)</t>
  </si>
  <si>
    <t>SEMANA DE CONSULTAS</t>
  </si>
  <si>
    <r>
      <rPr>
        <b/>
        <sz val="12"/>
        <color theme="1"/>
        <rFont val="Arial"/>
        <family val="2"/>
      </rPr>
      <t xml:space="preserve">Curso: </t>
    </r>
    <r>
      <rPr>
        <sz val="12"/>
        <color theme="1"/>
        <rFont val="Arial"/>
        <family val="2"/>
      </rPr>
      <t>2025-2026</t>
    </r>
  </si>
  <si>
    <t>FACULTAD DE CIBERSEGURIDAD</t>
  </si>
  <si>
    <t>Inglés (Electiva)</t>
  </si>
  <si>
    <t>EXÁMENES EXTRA II</t>
  </si>
  <si>
    <t>EXÁMENES EXTRA I</t>
  </si>
  <si>
    <t>EXÁMENES 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</si>
</sst>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;@"/>
  </numFmts>
  <fonts count="21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24"/>
      <color rgb="FF000080"/>
      <name val="Arial"/>
      <family val="2"/>
    </font>
    <font>
      <b/>
      <sz val="18"/>
      <color rgb="FF00008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rgb="FF000000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FFFF00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0070C0"/>
        <bgColor indexed="64"/>
      </patternFill>
    </fill>
  </fills>
  <borders count="10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double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9" fontId="20" fillId="0" borderId="0" applyFont="0" applyFill="0" applyBorder="0" applyAlignment="0" applyProtection="0"/>
  </cellStyleXfs>
  <cellXfs count="299">
    <xf numFmtId="0" fontId="0" fillId="0" borderId="0" xfId="0"/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6" borderId="5" xfId="0" applyFont="1" applyFill="1" applyBorder="1" applyAlignment="1">
      <alignment horizontal="center"/>
    </xf>
    <xf numFmtId="0" fontId="0" fillId="6" borderId="0" xfId="0" applyFill="1"/>
    <xf numFmtId="0" fontId="6" fillId="0" borderId="0" xfId="0" applyFont="1"/>
    <xf numFmtId="0" fontId="5" fillId="2" borderId="9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10" xfId="0" applyFont="1" applyBorder="1"/>
    <xf numFmtId="0" fontId="1" fillId="3" borderId="10" xfId="0" applyFont="1" applyFill="1" applyBorder="1"/>
    <xf numFmtId="0" fontId="1" fillId="0" borderId="9" xfId="0" applyFont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6" fillId="6" borderId="0" xfId="0" applyFont="1" applyFill="1"/>
    <xf numFmtId="0" fontId="1" fillId="0" borderId="0" xfId="0" applyFont="1" applyAlignment="1">
      <alignment horizontal="left"/>
    </xf>
    <xf numFmtId="0" fontId="5" fillId="5" borderId="0" xfId="0" applyFont="1" applyFill="1"/>
    <xf numFmtId="0" fontId="5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0" fontId="1" fillId="6" borderId="0" xfId="0" applyFont="1" applyFill="1" applyAlignment="1">
      <alignment horizontal="left"/>
    </xf>
    <xf numFmtId="0" fontId="1" fillId="0" borderId="3" xfId="0" applyFont="1" applyBorder="1"/>
    <xf numFmtId="0" fontId="1" fillId="0" borderId="11" xfId="0" applyFont="1" applyBorder="1"/>
    <xf numFmtId="0" fontId="1" fillId="3" borderId="11" xfId="0" applyFont="1" applyFill="1" applyBorder="1"/>
    <xf numFmtId="0" fontId="1" fillId="5" borderId="11" xfId="0" applyFont="1" applyFill="1" applyBorder="1"/>
    <xf numFmtId="0" fontId="1" fillId="0" borderId="13" xfId="0" applyFont="1" applyBorder="1"/>
    <xf numFmtId="0" fontId="1" fillId="4" borderId="9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0" fillId="6" borderId="34" xfId="0" applyFill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/>
    <xf numFmtId="0" fontId="1" fillId="0" borderId="38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4" borderId="40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/>
    </xf>
    <xf numFmtId="0" fontId="1" fillId="6" borderId="40" xfId="0" applyFont="1" applyFill="1" applyBorder="1" applyAlignment="1">
      <alignment horizontal="center"/>
    </xf>
    <xf numFmtId="0" fontId="1" fillId="6" borderId="41" xfId="0" applyFont="1" applyFill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3" fillId="0" borderId="11" xfId="0" applyFont="1" applyBorder="1"/>
    <xf numFmtId="0" fontId="6" fillId="6" borderId="0" xfId="0" applyFont="1" applyFill="1" applyAlignment="1">
      <alignment horizontal="center"/>
    </xf>
    <xf numFmtId="0" fontId="2" fillId="9" borderId="30" xfId="0" applyFont="1" applyFill="1" applyBorder="1" applyAlignment="1">
      <alignment horizontal="center"/>
    </xf>
    <xf numFmtId="0" fontId="2" fillId="9" borderId="31" xfId="0" applyFont="1" applyFill="1" applyBorder="1" applyAlignment="1">
      <alignment horizontal="center"/>
    </xf>
    <xf numFmtId="0" fontId="2" fillId="9" borderId="32" xfId="0" applyFont="1" applyFill="1" applyBorder="1" applyAlignment="1">
      <alignment horizontal="center"/>
    </xf>
    <xf numFmtId="0" fontId="1" fillId="0" borderId="11" xfId="0" applyFont="1" applyBorder="1" applyAlignment="1">
      <alignment vertical="center" wrapText="1"/>
    </xf>
    <xf numFmtId="0" fontId="1" fillId="6" borderId="11" xfId="0" applyFont="1" applyFill="1" applyBorder="1" applyAlignment="1">
      <alignment wrapText="1"/>
    </xf>
    <xf numFmtId="0" fontId="1" fillId="3" borderId="11" xfId="0" applyFont="1" applyFill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5" borderId="11" xfId="0" applyFont="1" applyFill="1" applyBorder="1" applyAlignment="1">
      <alignment wrapText="1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/>
    </xf>
    <xf numFmtId="164" fontId="11" fillId="9" borderId="37" xfId="0" applyNumberFormat="1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center"/>
    </xf>
    <xf numFmtId="0" fontId="5" fillId="6" borderId="18" xfId="0" applyFont="1" applyFill="1" applyBorder="1" applyAlignment="1">
      <alignment horizontal="center"/>
    </xf>
    <xf numFmtId="0" fontId="1" fillId="10" borderId="17" xfId="0" applyFont="1" applyFill="1" applyBorder="1" applyAlignment="1">
      <alignment horizontal="center"/>
    </xf>
    <xf numFmtId="0" fontId="1" fillId="0" borderId="13" xfId="0" applyFont="1" applyBorder="1" applyAlignment="1">
      <alignment wrapText="1"/>
    </xf>
    <xf numFmtId="0" fontId="5" fillId="0" borderId="9" xfId="0" applyFont="1" applyBorder="1" applyAlignment="1">
      <alignment horizontal="center"/>
    </xf>
    <xf numFmtId="0" fontId="1" fillId="11" borderId="40" xfId="0" applyFont="1" applyFill="1" applyBorder="1" applyAlignment="1">
      <alignment horizontal="center"/>
    </xf>
    <xf numFmtId="0" fontId="1" fillId="12" borderId="22" xfId="0" applyFont="1" applyFill="1" applyBorder="1" applyAlignment="1">
      <alignment horizontal="center"/>
    </xf>
    <xf numFmtId="0" fontId="1" fillId="12" borderId="17" xfId="0" applyFont="1" applyFill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0" fillId="0" borderId="9" xfId="0" applyBorder="1"/>
    <xf numFmtId="0" fontId="0" fillId="4" borderId="9" xfId="0" applyFill="1" applyBorder="1"/>
    <xf numFmtId="0" fontId="2" fillId="9" borderId="51" xfId="0" applyFont="1" applyFill="1" applyBorder="1" applyAlignment="1">
      <alignment horizontal="center"/>
    </xf>
    <xf numFmtId="0" fontId="1" fillId="12" borderId="52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0" fillId="0" borderId="17" xfId="0" applyBorder="1"/>
    <xf numFmtId="0" fontId="0" fillId="4" borderId="17" xfId="0" applyFill="1" applyBorder="1"/>
    <xf numFmtId="0" fontId="1" fillId="12" borderId="49" xfId="0" applyFont="1" applyFill="1" applyBorder="1" applyAlignment="1">
      <alignment horizontal="center"/>
    </xf>
    <xf numFmtId="0" fontId="1" fillId="12" borderId="50" xfId="0" applyFont="1" applyFill="1" applyBorder="1" applyAlignment="1">
      <alignment horizontal="center"/>
    </xf>
    <xf numFmtId="0" fontId="1" fillId="12" borderId="9" xfId="0" applyFont="1" applyFill="1" applyBorder="1" applyAlignment="1">
      <alignment horizontal="center"/>
    </xf>
    <xf numFmtId="0" fontId="1" fillId="12" borderId="20" xfId="0" applyFont="1" applyFill="1" applyBorder="1" applyAlignment="1">
      <alignment horizontal="center"/>
    </xf>
    <xf numFmtId="0" fontId="1" fillId="12" borderId="1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10" fillId="8" borderId="19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0" fontId="1" fillId="12" borderId="41" xfId="0" applyFont="1" applyFill="1" applyBorder="1" applyAlignment="1">
      <alignment horizontal="center"/>
    </xf>
    <xf numFmtId="0" fontId="1" fillId="12" borderId="43" xfId="0" applyFont="1" applyFill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4" borderId="54" xfId="0" applyFont="1" applyFill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12" borderId="55" xfId="0" applyFont="1" applyFill="1" applyBorder="1" applyAlignment="1">
      <alignment horizontal="center"/>
    </xf>
    <xf numFmtId="0" fontId="1" fillId="12" borderId="38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12" borderId="45" xfId="0" applyFont="1" applyFill="1" applyBorder="1" applyAlignment="1">
      <alignment horizontal="center" vertical="center"/>
    </xf>
    <xf numFmtId="0" fontId="1" fillId="12" borderId="44" xfId="0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" fillId="0" borderId="18" xfId="0" applyFont="1" applyBorder="1" applyAlignment="1">
      <alignment horizontal="left"/>
    </xf>
    <xf numFmtId="0" fontId="10" fillId="0" borderId="9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left"/>
    </xf>
    <xf numFmtId="0" fontId="4" fillId="0" borderId="1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9" xfId="0" applyFont="1" applyBorder="1"/>
    <xf numFmtId="0" fontId="8" fillId="9" borderId="47" xfId="0" applyFont="1" applyFill="1" applyBorder="1" applyAlignment="1">
      <alignment horizontal="center"/>
    </xf>
    <xf numFmtId="0" fontId="8" fillId="9" borderId="7" xfId="0" applyFont="1" applyFill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" fillId="13" borderId="9" xfId="0" applyFont="1" applyFill="1" applyBorder="1" applyAlignment="1">
      <alignment horizontal="center"/>
    </xf>
    <xf numFmtId="0" fontId="1" fillId="12" borderId="19" xfId="0" applyFont="1" applyFill="1" applyBorder="1" applyAlignment="1">
      <alignment horizontal="center"/>
    </xf>
    <xf numFmtId="0" fontId="13" fillId="2" borderId="0" xfId="1" applyFill="1"/>
    <xf numFmtId="0" fontId="15" fillId="2" borderId="0" xfId="2" applyFont="1" applyFill="1"/>
    <xf numFmtId="0" fontId="14" fillId="0" borderId="0" xfId="2"/>
    <xf numFmtId="0" fontId="14" fillId="2" borderId="0" xfId="2" applyFill="1"/>
    <xf numFmtId="0" fontId="17" fillId="2" borderId="0" xfId="2" applyFont="1" applyFill="1" applyAlignment="1">
      <alignment horizontal="left"/>
    </xf>
    <xf numFmtId="0" fontId="15" fillId="2" borderId="0" xfId="1" applyFont="1" applyFill="1" applyAlignment="1">
      <alignment horizontal="left" vertical="center"/>
    </xf>
    <xf numFmtId="0" fontId="18" fillId="2" borderId="0" xfId="1" applyFont="1" applyFill="1"/>
    <xf numFmtId="0" fontId="19" fillId="2" borderId="0" xfId="1" applyFont="1" applyFill="1"/>
    <xf numFmtId="0" fontId="1" fillId="11" borderId="12" xfId="0" applyFont="1" applyFill="1" applyBorder="1" applyAlignment="1">
      <alignment horizontal="center"/>
    </xf>
    <xf numFmtId="0" fontId="2" fillId="9" borderId="58" xfId="0" applyFont="1" applyFill="1" applyBorder="1" applyAlignment="1">
      <alignment horizontal="center"/>
    </xf>
    <xf numFmtId="0" fontId="2" fillId="9" borderId="59" xfId="0" applyFont="1" applyFill="1" applyBorder="1" applyAlignment="1">
      <alignment horizontal="center"/>
    </xf>
    <xf numFmtId="0" fontId="2" fillId="9" borderId="60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50" xfId="0" applyFont="1" applyFill="1" applyBorder="1" applyAlignment="1">
      <alignment horizontal="center"/>
    </xf>
    <xf numFmtId="0" fontId="10" fillId="7" borderId="17" xfId="0" applyFont="1" applyFill="1" applyBorder="1" applyAlignment="1">
      <alignment horizontal="center"/>
    </xf>
    <xf numFmtId="0" fontId="1" fillId="5" borderId="10" xfId="0" applyFont="1" applyFill="1" applyBorder="1"/>
    <xf numFmtId="0" fontId="5" fillId="6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9" borderId="61" xfId="0" applyFont="1" applyFill="1" applyBorder="1" applyAlignment="1">
      <alignment horizontal="center"/>
    </xf>
    <xf numFmtId="0" fontId="5" fillId="2" borderId="50" xfId="0" applyFont="1" applyFill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12" borderId="62" xfId="0" applyFont="1" applyFill="1" applyBorder="1" applyAlignment="1">
      <alignment horizontal="center"/>
    </xf>
    <xf numFmtId="0" fontId="2" fillId="9" borderId="63" xfId="0" applyFont="1" applyFill="1" applyBorder="1" applyAlignment="1">
      <alignment horizontal="center"/>
    </xf>
    <xf numFmtId="0" fontId="1" fillId="10" borderId="50" xfId="0" applyFont="1" applyFill="1" applyBorder="1" applyAlignment="1">
      <alignment horizontal="center"/>
    </xf>
    <xf numFmtId="0" fontId="5" fillId="0" borderId="62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6" fillId="6" borderId="28" xfId="0" applyFont="1" applyFill="1" applyBorder="1"/>
    <xf numFmtId="0" fontId="1" fillId="10" borderId="65" xfId="0" applyFont="1" applyFill="1" applyBorder="1" applyAlignment="1">
      <alignment horizontal="center"/>
    </xf>
    <xf numFmtId="0" fontId="6" fillId="6" borderId="9" xfId="0" applyFont="1" applyFill="1" applyBorder="1"/>
    <xf numFmtId="0" fontId="6" fillId="6" borderId="34" xfId="0" applyFont="1" applyFill="1" applyBorder="1"/>
    <xf numFmtId="0" fontId="1" fillId="0" borderId="52" xfId="0" applyFont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12" xfId="0" applyFont="1" applyBorder="1"/>
    <xf numFmtId="0" fontId="1" fillId="10" borderId="1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left"/>
    </xf>
    <xf numFmtId="0" fontId="1" fillId="0" borderId="52" xfId="0" applyFont="1" applyBorder="1"/>
    <xf numFmtId="0" fontId="2" fillId="9" borderId="71" xfId="0" applyFont="1" applyFill="1" applyBorder="1" applyAlignment="1">
      <alignment horizontal="center"/>
    </xf>
    <xf numFmtId="9" fontId="1" fillId="0" borderId="9" xfId="3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0" fillId="16" borderId="12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0" fillId="8" borderId="72" xfId="0" applyFont="1" applyFill="1" applyBorder="1" applyAlignment="1">
      <alignment horizontal="center"/>
    </xf>
    <xf numFmtId="0" fontId="10" fillId="8" borderId="9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5" borderId="1" xfId="0" applyFont="1" applyFill="1" applyBorder="1"/>
    <xf numFmtId="0" fontId="5" fillId="0" borderId="52" xfId="0" applyFont="1" applyBorder="1"/>
    <xf numFmtId="0" fontId="1" fillId="2" borderId="73" xfId="0" applyFont="1" applyFill="1" applyBorder="1" applyAlignment="1">
      <alignment horizontal="center"/>
    </xf>
    <xf numFmtId="0" fontId="2" fillId="9" borderId="74" xfId="0" applyFont="1" applyFill="1" applyBorder="1" applyAlignment="1">
      <alignment horizontal="center"/>
    </xf>
    <xf numFmtId="0" fontId="2" fillId="9" borderId="75" xfId="0" applyFont="1" applyFill="1" applyBorder="1" applyAlignment="1">
      <alignment horizontal="center"/>
    </xf>
    <xf numFmtId="0" fontId="2" fillId="9" borderId="76" xfId="0" applyFont="1" applyFill="1" applyBorder="1" applyAlignment="1">
      <alignment horizontal="center"/>
    </xf>
    <xf numFmtId="0" fontId="2" fillId="9" borderId="77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6" fillId="6" borderId="12" xfId="0" applyFont="1" applyFill="1" applyBorder="1"/>
    <xf numFmtId="0" fontId="1" fillId="6" borderId="73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5" fillId="6" borderId="23" xfId="0" applyFont="1" applyFill="1" applyBorder="1" applyAlignment="1">
      <alignment horizontal="center"/>
    </xf>
    <xf numFmtId="0" fontId="5" fillId="6" borderId="23" xfId="0" applyFont="1" applyFill="1" applyBorder="1" applyAlignment="1">
      <alignment horizontal="left"/>
    </xf>
    <xf numFmtId="0" fontId="6" fillId="0" borderId="9" xfId="0" applyFont="1" applyBorder="1"/>
    <xf numFmtId="0" fontId="5" fillId="5" borderId="52" xfId="0" applyFont="1" applyFill="1" applyBorder="1"/>
    <xf numFmtId="0" fontId="1" fillId="5" borderId="52" xfId="0" applyFont="1" applyFill="1" applyBorder="1"/>
    <xf numFmtId="0" fontId="1" fillId="0" borderId="72" xfId="0" applyFont="1" applyBorder="1"/>
    <xf numFmtId="0" fontId="6" fillId="0" borderId="17" xfId="0" applyFont="1" applyBorder="1"/>
    <xf numFmtId="0" fontId="6" fillId="0" borderId="18" xfId="0" applyFont="1" applyBorder="1"/>
    <xf numFmtId="0" fontId="2" fillId="9" borderId="78" xfId="0" applyFont="1" applyFill="1" applyBorder="1" applyAlignment="1">
      <alignment horizontal="center"/>
    </xf>
    <xf numFmtId="0" fontId="0" fillId="0" borderId="28" xfId="0" applyBorder="1"/>
    <xf numFmtId="0" fontId="10" fillId="7" borderId="18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10" borderId="52" xfId="0" applyFont="1" applyFill="1" applyBorder="1" applyAlignment="1">
      <alignment horizontal="center"/>
    </xf>
    <xf numFmtId="0" fontId="1" fillId="2" borderId="67" xfId="0" applyFont="1" applyFill="1" applyBorder="1" applyAlignment="1">
      <alignment horizontal="center"/>
    </xf>
    <xf numFmtId="0" fontId="1" fillId="0" borderId="67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6" borderId="49" xfId="0" applyFont="1" applyFill="1" applyBorder="1" applyAlignment="1">
      <alignment horizontal="center"/>
    </xf>
    <xf numFmtId="0" fontId="2" fillId="9" borderId="82" xfId="0" applyFont="1" applyFill="1" applyBorder="1" applyAlignment="1">
      <alignment horizontal="center"/>
    </xf>
    <xf numFmtId="0" fontId="1" fillId="2" borderId="48" xfId="0" applyFont="1" applyFill="1" applyBorder="1" applyAlignment="1">
      <alignment horizontal="center"/>
    </xf>
    <xf numFmtId="0" fontId="5" fillId="0" borderId="73" xfId="0" applyFont="1" applyBorder="1" applyAlignment="1">
      <alignment horizontal="center"/>
    </xf>
    <xf numFmtId="0" fontId="1" fillId="10" borderId="83" xfId="0" applyFont="1" applyFill="1" applyBorder="1" applyAlignment="1">
      <alignment horizontal="center"/>
    </xf>
    <xf numFmtId="0" fontId="6" fillId="6" borderId="17" xfId="0" applyFont="1" applyFill="1" applyBorder="1"/>
    <xf numFmtId="0" fontId="6" fillId="6" borderId="18" xfId="0" applyFont="1" applyFill="1" applyBorder="1"/>
    <xf numFmtId="0" fontId="6" fillId="0" borderId="22" xfId="0" applyFont="1" applyBorder="1"/>
    <xf numFmtId="0" fontId="1" fillId="6" borderId="48" xfId="0" applyFont="1" applyFill="1" applyBorder="1" applyAlignment="1">
      <alignment horizontal="center"/>
    </xf>
    <xf numFmtId="0" fontId="2" fillId="9" borderId="84" xfId="0" applyFont="1" applyFill="1" applyBorder="1" applyAlignment="1">
      <alignment horizontal="center"/>
    </xf>
    <xf numFmtId="0" fontId="6" fillId="6" borderId="10" xfId="0" applyFont="1" applyFill="1" applyBorder="1"/>
    <xf numFmtId="0" fontId="6" fillId="0" borderId="66" xfId="0" applyFont="1" applyBorder="1"/>
    <xf numFmtId="0" fontId="1" fillId="11" borderId="85" xfId="0" applyFont="1" applyFill="1" applyBorder="1" applyAlignment="1">
      <alignment horizontal="center"/>
    </xf>
    <xf numFmtId="0" fontId="6" fillId="0" borderId="67" xfId="0" applyFont="1" applyBorder="1" applyAlignment="1">
      <alignment horizontal="center"/>
    </xf>
    <xf numFmtId="0" fontId="6" fillId="0" borderId="80" xfId="0" applyFont="1" applyBorder="1" applyAlignment="1">
      <alignment horizontal="center"/>
    </xf>
    <xf numFmtId="0" fontId="6" fillId="0" borderId="67" xfId="0" applyFont="1" applyBorder="1"/>
    <xf numFmtId="0" fontId="10" fillId="15" borderId="67" xfId="0" applyFont="1" applyFill="1" applyBorder="1" applyAlignment="1">
      <alignment horizontal="center"/>
    </xf>
    <xf numFmtId="0" fontId="1" fillId="0" borderId="81" xfId="0" applyFont="1" applyBorder="1" applyAlignment="1">
      <alignment horizontal="center"/>
    </xf>
    <xf numFmtId="0" fontId="10" fillId="7" borderId="50" xfId="0" applyFont="1" applyFill="1" applyBorder="1" applyAlignment="1">
      <alignment horizontal="center"/>
    </xf>
    <xf numFmtId="0" fontId="6" fillId="0" borderId="24" xfId="0" applyFont="1" applyBorder="1"/>
    <xf numFmtId="0" fontId="6" fillId="0" borderId="37" xfId="0" applyFont="1" applyBorder="1" applyAlignment="1">
      <alignment horizontal="center"/>
    </xf>
    <xf numFmtId="0" fontId="1" fillId="2" borderId="86" xfId="0" applyFont="1" applyFill="1" applyBorder="1" applyAlignment="1">
      <alignment horizontal="center"/>
    </xf>
    <xf numFmtId="0" fontId="1" fillId="11" borderId="83" xfId="0" applyFont="1" applyFill="1" applyBorder="1" applyAlignment="1">
      <alignment horizontal="center"/>
    </xf>
    <xf numFmtId="0" fontId="1" fillId="0" borderId="85" xfId="0" applyFont="1" applyBorder="1" applyAlignment="1">
      <alignment horizontal="center"/>
    </xf>
    <xf numFmtId="0" fontId="1" fillId="2" borderId="68" xfId="0" applyFont="1" applyFill="1" applyBorder="1" applyAlignment="1">
      <alignment horizontal="center"/>
    </xf>
    <xf numFmtId="0" fontId="1" fillId="2" borderId="80" xfId="0" applyFont="1" applyFill="1" applyBorder="1" applyAlignment="1">
      <alignment horizontal="center"/>
    </xf>
    <xf numFmtId="0" fontId="1" fillId="6" borderId="83" xfId="0" applyFont="1" applyFill="1" applyBorder="1" applyAlignment="1">
      <alignment horizontal="center"/>
    </xf>
    <xf numFmtId="0" fontId="1" fillId="2" borderId="85" xfId="0" applyFont="1" applyFill="1" applyBorder="1" applyAlignment="1">
      <alignment horizontal="center"/>
    </xf>
    <xf numFmtId="0" fontId="1" fillId="0" borderId="80" xfId="0" applyFont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2" fillId="9" borderId="87" xfId="0" applyFont="1" applyFill="1" applyBorder="1" applyAlignment="1">
      <alignment horizontal="center"/>
    </xf>
    <xf numFmtId="0" fontId="2" fillId="9" borderId="88" xfId="0" applyFont="1" applyFill="1" applyBorder="1" applyAlignment="1">
      <alignment horizontal="center"/>
    </xf>
    <xf numFmtId="0" fontId="2" fillId="9" borderId="89" xfId="0" applyFont="1" applyFill="1" applyBorder="1" applyAlignment="1">
      <alignment horizontal="center"/>
    </xf>
    <xf numFmtId="0" fontId="1" fillId="11" borderId="67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5" fillId="6" borderId="50" xfId="0" applyFont="1" applyFill="1" applyBorder="1" applyAlignment="1">
      <alignment horizontal="center"/>
    </xf>
    <xf numFmtId="0" fontId="1" fillId="0" borderId="83" xfId="0" applyFont="1" applyBorder="1" applyAlignment="1">
      <alignment horizontal="center"/>
    </xf>
    <xf numFmtId="0" fontId="10" fillId="6" borderId="18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7" fillId="0" borderId="90" xfId="0" applyFont="1" applyBorder="1" applyAlignment="1">
      <alignment horizontal="center" vertical="center"/>
    </xf>
    <xf numFmtId="0" fontId="1" fillId="0" borderId="91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92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1" fillId="0" borderId="95" xfId="0" applyFont="1" applyBorder="1" applyAlignment="1">
      <alignment horizontal="center"/>
    </xf>
    <xf numFmtId="0" fontId="1" fillId="0" borderId="64" xfId="0" applyFont="1" applyBorder="1" applyAlignment="1">
      <alignment horizontal="center"/>
    </xf>
    <xf numFmtId="0" fontId="10" fillId="7" borderId="64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/>
    </xf>
    <xf numFmtId="0" fontId="1" fillId="0" borderId="97" xfId="0" applyFont="1" applyBorder="1" applyAlignment="1">
      <alignment horizontal="center"/>
    </xf>
    <xf numFmtId="0" fontId="0" fillId="4" borderId="34" xfId="0" applyFill="1" applyBorder="1"/>
    <xf numFmtId="0" fontId="10" fillId="7" borderId="52" xfId="0" applyFont="1" applyFill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0" fillId="0" borderId="98" xfId="0" applyBorder="1"/>
    <xf numFmtId="0" fontId="10" fillId="14" borderId="96" xfId="0" applyFont="1" applyFill="1" applyBorder="1" applyAlignment="1">
      <alignment horizontal="center"/>
    </xf>
    <xf numFmtId="0" fontId="1" fillId="0" borderId="99" xfId="0" applyFont="1" applyBorder="1" applyAlignment="1">
      <alignment horizontal="center"/>
    </xf>
    <xf numFmtId="0" fontId="10" fillId="14" borderId="44" xfId="0" applyFont="1" applyFill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16" fillId="2" borderId="0" xfId="2" applyFont="1" applyFill="1" applyAlignment="1">
      <alignment horizontal="left" vertical="center" wrapText="1"/>
    </xf>
    <xf numFmtId="0" fontId="2" fillId="9" borderId="14" xfId="0" applyFont="1" applyFill="1" applyBorder="1" applyAlignment="1">
      <alignment horizontal="center"/>
    </xf>
    <xf numFmtId="0" fontId="12" fillId="9" borderId="16" xfId="0" applyFont="1" applyFill="1" applyBorder="1"/>
    <xf numFmtId="0" fontId="12" fillId="9" borderId="15" xfId="0" applyFont="1" applyFill="1" applyBorder="1"/>
    <xf numFmtId="164" fontId="11" fillId="9" borderId="26" xfId="0" applyNumberFormat="1" applyFont="1" applyFill="1" applyBorder="1" applyAlignment="1">
      <alignment horizontal="center" vertical="center"/>
    </xf>
    <xf numFmtId="164" fontId="11" fillId="9" borderId="27" xfId="0" applyNumberFormat="1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/>
    </xf>
    <xf numFmtId="0" fontId="2" fillId="9" borderId="15" xfId="0" applyFont="1" applyFill="1" applyBorder="1" applyAlignment="1">
      <alignment horizontal="center"/>
    </xf>
    <xf numFmtId="164" fontId="11" fillId="9" borderId="24" xfId="0" applyNumberFormat="1" applyFont="1" applyFill="1" applyBorder="1" applyAlignment="1">
      <alignment horizontal="center" vertical="center"/>
    </xf>
    <xf numFmtId="164" fontId="11" fillId="9" borderId="25" xfId="0" applyNumberFormat="1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 wrapText="1"/>
    </xf>
    <xf numFmtId="0" fontId="9" fillId="9" borderId="28" xfId="0" applyFont="1" applyFill="1" applyBorder="1"/>
    <xf numFmtId="0" fontId="9" fillId="9" borderId="29" xfId="0" applyFont="1" applyFill="1" applyBorder="1"/>
    <xf numFmtId="164" fontId="11" fillId="9" borderId="37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9" fillId="9" borderId="2" xfId="0" applyFont="1" applyFill="1" applyBorder="1"/>
    <xf numFmtId="0" fontId="9" fillId="9" borderId="4" xfId="0" applyFont="1" applyFill="1" applyBorder="1"/>
    <xf numFmtId="0" fontId="9" fillId="9" borderId="2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164" fontId="11" fillId="9" borderId="79" xfId="0" applyNumberFormat="1" applyFont="1" applyFill="1" applyBorder="1" applyAlignment="1">
      <alignment horizontal="center" vertical="center"/>
    </xf>
    <xf numFmtId="164" fontId="11" fillId="9" borderId="15" xfId="0" applyNumberFormat="1" applyFont="1" applyFill="1" applyBorder="1" applyAlignment="1">
      <alignment horizontal="center" vertical="center"/>
    </xf>
    <xf numFmtId="164" fontId="11" fillId="9" borderId="80" xfId="0" applyNumberFormat="1" applyFont="1" applyFill="1" applyBorder="1" applyAlignment="1">
      <alignment horizontal="center" vertical="center"/>
    </xf>
    <xf numFmtId="164" fontId="11" fillId="9" borderId="81" xfId="0" applyNumberFormat="1" applyFont="1" applyFill="1" applyBorder="1" applyAlignment="1">
      <alignment horizontal="center" vertical="center"/>
    </xf>
    <xf numFmtId="0" fontId="2" fillId="9" borderId="57" xfId="0" applyFont="1" applyFill="1" applyBorder="1" applyAlignment="1">
      <alignment horizontal="center" vertical="center" wrapText="1"/>
    </xf>
    <xf numFmtId="0" fontId="2" fillId="9" borderId="69" xfId="0" applyFont="1" applyFill="1" applyBorder="1" applyAlignment="1">
      <alignment horizontal="center"/>
    </xf>
    <xf numFmtId="0" fontId="12" fillId="9" borderId="64" xfId="0" applyFont="1" applyFill="1" applyBorder="1"/>
    <xf numFmtId="0" fontId="12" fillId="9" borderId="70" xfId="0" applyFont="1" applyFill="1" applyBorder="1"/>
  </cellXfs>
  <cellStyles count="4">
    <cellStyle name="Normal" xfId="0" builtinId="0"/>
    <cellStyle name="Normal 2 2" xfId="1" xr:uid="{32C64213-72F2-433A-A100-8C448FC2A582}"/>
    <cellStyle name="Normal 3" xfId="2" xr:uid="{89838619-E903-4CA1-98E9-90040BFC5E20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259080</xdr:colOff>
      <xdr:row>2</xdr:row>
      <xdr:rowOff>152400</xdr:rowOff>
    </xdr:from>
    <xdr:ext cx="1365480" cy="793800"/>
    <xdr:pic>
      <xdr:nvPicPr>
        <xdr:cNvPr id="2" name="Graphics 1">
          <a:extLst>
            <a:ext uri="{FF2B5EF4-FFF2-40B4-BE49-F238E27FC236}">
              <a16:creationId xmlns:a16="http://schemas.microsoft.com/office/drawing/2014/main" id="{35B9F3BE-0223-4343-B9AF-8ABCD6200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59080" y="548640"/>
          <a:ext cx="1365480" cy="7938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2AEA-00A6-4D3C-9E47-C62DFF063C41}">
  <dimension ref="A1:H21"/>
  <sheetViews>
    <sheetView workbookViewId="0">
      <selection activeCell="D19" sqref="D19"/>
    </sheetView>
  </sheetViews>
  <sheetFormatPr baseColWidth="10" defaultRowHeight="13.2" x14ac:dyDescent="0.25"/>
  <sheetData>
    <row r="1" spans="1:8" x14ac:dyDescent="0.25">
      <c r="A1" s="135"/>
      <c r="B1" s="135"/>
      <c r="C1" s="135"/>
      <c r="D1" s="135"/>
      <c r="E1" s="135"/>
      <c r="F1" s="135"/>
      <c r="G1" s="135"/>
      <c r="H1" s="135"/>
    </row>
    <row r="2" spans="1:8" x14ac:dyDescent="0.25">
      <c r="A2" s="135"/>
      <c r="B2" s="135"/>
      <c r="C2" s="135"/>
      <c r="D2" s="135"/>
      <c r="E2" s="135"/>
      <c r="F2" s="135"/>
      <c r="G2" s="135"/>
      <c r="H2" s="135"/>
    </row>
    <row r="3" spans="1:8" x14ac:dyDescent="0.25">
      <c r="A3" s="135"/>
      <c r="B3" s="135"/>
      <c r="C3" s="135"/>
      <c r="D3" s="135"/>
      <c r="E3" s="135"/>
      <c r="F3" s="135"/>
      <c r="G3" s="135"/>
      <c r="H3" s="135"/>
    </row>
    <row r="4" spans="1:8" x14ac:dyDescent="0.25">
      <c r="A4" s="135"/>
      <c r="B4" s="135"/>
      <c r="C4" s="135"/>
      <c r="D4" s="135"/>
      <c r="E4" s="135"/>
      <c r="F4" s="135"/>
      <c r="G4" s="135"/>
      <c r="H4" s="135"/>
    </row>
    <row r="5" spans="1:8" x14ac:dyDescent="0.25">
      <c r="A5" s="135"/>
      <c r="B5" s="135"/>
      <c r="C5" s="135"/>
      <c r="D5" s="135"/>
      <c r="E5" s="135"/>
      <c r="F5" s="135"/>
      <c r="G5" s="135"/>
      <c r="H5" s="135"/>
    </row>
    <row r="6" spans="1:8" x14ac:dyDescent="0.25">
      <c r="A6" s="135"/>
      <c r="B6" s="135"/>
      <c r="C6" s="135"/>
      <c r="D6" s="135"/>
      <c r="E6" s="135"/>
      <c r="F6" s="135"/>
      <c r="G6" s="135"/>
      <c r="H6" s="135"/>
    </row>
    <row r="7" spans="1:8" ht="17.399999999999999" x14ac:dyDescent="0.3">
      <c r="A7" s="135"/>
      <c r="B7" s="135"/>
      <c r="C7" s="136" t="s">
        <v>69</v>
      </c>
      <c r="D7" s="137"/>
      <c r="E7" s="135"/>
      <c r="F7" s="135"/>
      <c r="G7" s="135"/>
      <c r="H7" s="135"/>
    </row>
    <row r="8" spans="1:8" ht="13.8" x14ac:dyDescent="0.25">
      <c r="A8" s="135"/>
      <c r="B8" s="135"/>
      <c r="C8" s="135"/>
      <c r="D8" s="138"/>
      <c r="E8" s="135"/>
      <c r="F8" s="135"/>
      <c r="G8" s="135"/>
      <c r="H8" s="135"/>
    </row>
    <row r="9" spans="1:8" ht="30" x14ac:dyDescent="0.25">
      <c r="A9" s="135"/>
      <c r="B9" s="135"/>
      <c r="C9" s="272" t="s">
        <v>57</v>
      </c>
      <c r="D9" s="272"/>
      <c r="E9" s="272"/>
      <c r="F9" s="272"/>
      <c r="G9" s="272"/>
      <c r="H9" s="272"/>
    </row>
    <row r="10" spans="1:8" ht="22.8" x14ac:dyDescent="0.4">
      <c r="A10" s="135"/>
      <c r="B10" s="135"/>
      <c r="C10" s="139" t="s">
        <v>58</v>
      </c>
      <c r="D10" s="135"/>
      <c r="E10" s="135"/>
      <c r="F10" s="135"/>
      <c r="G10" s="135"/>
      <c r="H10" s="135"/>
    </row>
    <row r="11" spans="1:8" ht="22.8" x14ac:dyDescent="0.4">
      <c r="A11" s="135"/>
      <c r="B11" s="135"/>
      <c r="C11" s="139"/>
      <c r="D11" s="135"/>
      <c r="E11" s="135"/>
      <c r="F11" s="135"/>
      <c r="G11" s="135"/>
      <c r="H11" s="135"/>
    </row>
    <row r="12" spans="1:8" ht="17.399999999999999" x14ac:dyDescent="0.3">
      <c r="A12" s="140"/>
      <c r="B12" s="140"/>
      <c r="C12" s="141" t="s">
        <v>68</v>
      </c>
      <c r="D12" s="135"/>
      <c r="E12" s="135"/>
      <c r="F12" s="135"/>
      <c r="G12" s="135"/>
      <c r="H12" s="135"/>
    </row>
    <row r="13" spans="1:8" ht="15.6" x14ac:dyDescent="0.3">
      <c r="A13" s="135"/>
      <c r="B13" s="135"/>
      <c r="C13" s="141" t="s">
        <v>61</v>
      </c>
      <c r="D13" s="135"/>
      <c r="E13" s="135"/>
      <c r="F13" s="135"/>
      <c r="G13" s="135"/>
      <c r="H13" s="135"/>
    </row>
    <row r="14" spans="1:8" ht="15" x14ac:dyDescent="0.25">
      <c r="A14" s="135"/>
      <c r="B14" s="135"/>
      <c r="C14" s="141"/>
      <c r="D14" s="135"/>
      <c r="E14" s="135"/>
      <c r="F14" s="135"/>
      <c r="G14" s="135"/>
      <c r="H14" s="135"/>
    </row>
    <row r="15" spans="1:8" ht="15" x14ac:dyDescent="0.25">
      <c r="A15" s="135"/>
      <c r="B15" s="135"/>
      <c r="C15" s="141"/>
      <c r="D15" s="135"/>
      <c r="E15" s="135"/>
      <c r="F15" s="135"/>
      <c r="G15" s="135"/>
      <c r="H15" s="135"/>
    </row>
    <row r="16" spans="1:8" ht="15" x14ac:dyDescent="0.25">
      <c r="A16" s="135"/>
      <c r="B16" s="135"/>
      <c r="C16" s="141"/>
      <c r="D16" s="135"/>
      <c r="E16" s="135"/>
      <c r="F16" s="135"/>
      <c r="G16" s="135"/>
      <c r="H16" s="135"/>
    </row>
    <row r="17" spans="1:8" ht="15" x14ac:dyDescent="0.25">
      <c r="A17" s="135"/>
      <c r="B17" s="135"/>
      <c r="C17" s="141"/>
      <c r="D17" s="135"/>
      <c r="E17" s="135"/>
      <c r="F17" s="135"/>
      <c r="G17" s="135"/>
      <c r="H17" s="135"/>
    </row>
    <row r="18" spans="1:8" ht="15" x14ac:dyDescent="0.25">
      <c r="A18" s="135"/>
      <c r="B18" s="135"/>
      <c r="C18" s="141"/>
      <c r="D18" s="135"/>
      <c r="E18" s="135"/>
      <c r="F18" s="135"/>
      <c r="G18" s="135"/>
      <c r="H18" s="135"/>
    </row>
    <row r="19" spans="1:8" ht="15" x14ac:dyDescent="0.25">
      <c r="A19" s="135"/>
      <c r="B19" s="135"/>
      <c r="C19" s="141"/>
      <c r="D19" s="135"/>
      <c r="E19" s="135"/>
      <c r="F19" s="135"/>
      <c r="G19" s="135"/>
      <c r="H19" s="135"/>
    </row>
    <row r="20" spans="1:8" ht="15.6" x14ac:dyDescent="0.3">
      <c r="A20" s="135"/>
      <c r="B20" s="135"/>
      <c r="C20" s="142" t="s">
        <v>59</v>
      </c>
      <c r="D20" s="135"/>
      <c r="E20" s="135"/>
      <c r="F20" s="135"/>
      <c r="G20" s="135"/>
      <c r="H20" s="135"/>
    </row>
    <row r="21" spans="1:8" ht="17.399999999999999" x14ac:dyDescent="0.25">
      <c r="A21" s="140"/>
      <c r="B21" s="140"/>
      <c r="C21" s="141" t="s">
        <v>60</v>
      </c>
      <c r="D21" s="135"/>
      <c r="E21" s="135"/>
      <c r="F21" s="135"/>
      <c r="G21" s="135"/>
      <c r="H21" s="135"/>
    </row>
  </sheetData>
  <mergeCells count="1">
    <mergeCell ref="C9:H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F822-F87D-473F-B61C-3E576601075C}">
  <sheetPr>
    <outlinePr summaryBelow="0" summaryRight="0"/>
  </sheetPr>
  <dimension ref="A1:CC989"/>
  <sheetViews>
    <sheetView showGridLines="0" zoomScale="163" workbookViewId="0">
      <selection activeCell="BO2" sqref="BO2:CC2"/>
    </sheetView>
  </sheetViews>
  <sheetFormatPr baseColWidth="10" defaultColWidth="12.6640625" defaultRowHeight="15.75" customHeight="1" x14ac:dyDescent="0.25"/>
  <cols>
    <col min="1" max="1" width="33.44140625" customWidth="1"/>
    <col min="2" max="5" width="5.33203125" customWidth="1"/>
    <col min="6" max="7" width="7.109375" customWidth="1"/>
    <col min="8" max="8" width="7" customWidth="1"/>
    <col min="9" max="10" width="7.33203125" customWidth="1"/>
    <col min="11" max="14" width="5.33203125" customWidth="1"/>
    <col min="15" max="16" width="7.109375" customWidth="1"/>
    <col min="17" max="17" width="7" customWidth="1"/>
    <col min="18" max="18" width="7.33203125" bestFit="1" customWidth="1"/>
    <col min="19" max="20" width="7.109375" bestFit="1" customWidth="1"/>
    <col min="21" max="21" width="7" bestFit="1" customWidth="1"/>
    <col min="22" max="22" width="7.33203125" bestFit="1" customWidth="1"/>
    <col min="23" max="23" width="7.109375" bestFit="1" customWidth="1"/>
    <col min="24" max="61" width="5.33203125" customWidth="1"/>
    <col min="62" max="62" width="5.6640625" bestFit="1" customWidth="1"/>
    <col min="63" max="81" width="5.33203125" customWidth="1"/>
  </cols>
  <sheetData>
    <row r="1" spans="1:81" ht="14.4" thickBot="1" x14ac:dyDescent="0.3">
      <c r="A1" s="282" t="s">
        <v>0</v>
      </c>
      <c r="B1" s="280">
        <v>45908</v>
      </c>
      <c r="C1" s="281"/>
      <c r="D1" s="276">
        <f>B1+6</f>
        <v>45914</v>
      </c>
      <c r="E1" s="277"/>
      <c r="F1" s="280">
        <f>B1+7</f>
        <v>45915</v>
      </c>
      <c r="G1" s="281"/>
      <c r="H1" s="276">
        <f>D1+7</f>
        <v>45921</v>
      </c>
      <c r="I1" s="277"/>
      <c r="J1" s="280">
        <f>F1+7</f>
        <v>45922</v>
      </c>
      <c r="K1" s="281"/>
      <c r="L1" s="276">
        <f>H1+7</f>
        <v>45928</v>
      </c>
      <c r="M1" s="277"/>
      <c r="N1" s="280">
        <f>J1+7</f>
        <v>45929</v>
      </c>
      <c r="O1" s="281"/>
      <c r="P1" s="276">
        <f>L1+7</f>
        <v>45935</v>
      </c>
      <c r="Q1" s="277"/>
      <c r="R1" s="280">
        <f>N1+7</f>
        <v>45936</v>
      </c>
      <c r="S1" s="281"/>
      <c r="T1" s="276">
        <f>P1+7</f>
        <v>45942</v>
      </c>
      <c r="U1" s="277"/>
      <c r="V1" s="280">
        <f>R1+7</f>
        <v>45943</v>
      </c>
      <c r="W1" s="281"/>
      <c r="X1" s="276">
        <f>T1+7</f>
        <v>45949</v>
      </c>
      <c r="Y1" s="277"/>
      <c r="Z1" s="280">
        <f>V1+7</f>
        <v>45950</v>
      </c>
      <c r="AA1" s="281"/>
      <c r="AB1" s="276">
        <f>X1+7</f>
        <v>45956</v>
      </c>
      <c r="AC1" s="277"/>
      <c r="AD1" s="280">
        <f>Z1+7</f>
        <v>45957</v>
      </c>
      <c r="AE1" s="281"/>
      <c r="AF1" s="276">
        <f>AB1+7</f>
        <v>45963</v>
      </c>
      <c r="AG1" s="277"/>
      <c r="AH1" s="280">
        <f>AD1+7</f>
        <v>45964</v>
      </c>
      <c r="AI1" s="281"/>
      <c r="AJ1" s="276">
        <f>AF1+7</f>
        <v>45970</v>
      </c>
      <c r="AK1" s="277"/>
      <c r="AL1" s="280">
        <f>AH1+7</f>
        <v>45971</v>
      </c>
      <c r="AM1" s="281"/>
      <c r="AN1" s="276">
        <f>AJ1+7</f>
        <v>45977</v>
      </c>
      <c r="AO1" s="277"/>
      <c r="AP1" s="280">
        <f>AL1+7</f>
        <v>45978</v>
      </c>
      <c r="AQ1" s="281"/>
      <c r="AR1" s="276">
        <f>AN1+7</f>
        <v>45984</v>
      </c>
      <c r="AS1" s="285"/>
      <c r="AT1" s="280">
        <f>AP1+7</f>
        <v>45985</v>
      </c>
      <c r="AU1" s="281"/>
      <c r="AV1" s="276">
        <f>AR1+7</f>
        <v>45991</v>
      </c>
      <c r="AW1" s="277"/>
      <c r="AX1" s="280">
        <f>AT1+7</f>
        <v>45992</v>
      </c>
      <c r="AY1" s="281"/>
      <c r="AZ1" s="276">
        <f>AV1+7</f>
        <v>45998</v>
      </c>
      <c r="BA1" s="277"/>
      <c r="BB1" s="280">
        <f>AX1+7</f>
        <v>45999</v>
      </c>
      <c r="BC1" s="281"/>
      <c r="BD1" s="276">
        <f>AZ1+7</f>
        <v>46005</v>
      </c>
      <c r="BE1" s="277"/>
      <c r="BF1" s="280">
        <v>46034</v>
      </c>
      <c r="BG1" s="281"/>
      <c r="BH1" s="276">
        <f>BF1+6</f>
        <v>46040</v>
      </c>
      <c r="BI1" s="277"/>
      <c r="BJ1" s="280">
        <f>BF1+7</f>
        <v>46041</v>
      </c>
      <c r="BK1" s="281"/>
      <c r="BL1" s="74"/>
      <c r="BM1" s="276">
        <f>BH1+7</f>
        <v>46047</v>
      </c>
      <c r="BN1" s="285"/>
      <c r="BO1" s="280">
        <f>BJ1+7</f>
        <v>46048</v>
      </c>
      <c r="BP1" s="281"/>
      <c r="BQ1" s="74"/>
      <c r="BR1" s="276">
        <f>BM1+7</f>
        <v>46054</v>
      </c>
      <c r="BS1" s="285"/>
      <c r="BT1" s="280">
        <f>BO1+7</f>
        <v>46055</v>
      </c>
      <c r="BU1" s="281"/>
      <c r="BV1" s="74"/>
      <c r="BW1" s="276">
        <f>BR1+7</f>
        <v>46061</v>
      </c>
      <c r="BX1" s="277"/>
      <c r="BY1" s="280">
        <f>BT1+7</f>
        <v>46062</v>
      </c>
      <c r="BZ1" s="281"/>
      <c r="CA1" s="74"/>
      <c r="CB1" s="276">
        <f>BW1+7</f>
        <v>46068</v>
      </c>
      <c r="CC1" s="277"/>
    </row>
    <row r="2" spans="1:81" ht="13.8" thickBot="1" x14ac:dyDescent="0.3">
      <c r="A2" s="283"/>
      <c r="B2" s="273" t="s">
        <v>1</v>
      </c>
      <c r="C2" s="274"/>
      <c r="D2" s="274"/>
      <c r="E2" s="275"/>
      <c r="F2" s="273" t="s">
        <v>2</v>
      </c>
      <c r="G2" s="274"/>
      <c r="H2" s="274"/>
      <c r="I2" s="275"/>
      <c r="J2" s="273" t="s">
        <v>3</v>
      </c>
      <c r="K2" s="278"/>
      <c r="L2" s="278"/>
      <c r="M2" s="279"/>
      <c r="N2" s="273" t="s">
        <v>4</v>
      </c>
      <c r="O2" s="274"/>
      <c r="P2" s="274"/>
      <c r="Q2" s="275"/>
      <c r="R2" s="273" t="s">
        <v>5</v>
      </c>
      <c r="S2" s="274"/>
      <c r="T2" s="274"/>
      <c r="U2" s="275"/>
      <c r="V2" s="273" t="s">
        <v>6</v>
      </c>
      <c r="W2" s="274"/>
      <c r="X2" s="274"/>
      <c r="Y2" s="275"/>
      <c r="Z2" s="273" t="s">
        <v>7</v>
      </c>
      <c r="AA2" s="274"/>
      <c r="AB2" s="274"/>
      <c r="AC2" s="275"/>
      <c r="AD2" s="273" t="s">
        <v>8</v>
      </c>
      <c r="AE2" s="274"/>
      <c r="AF2" s="274"/>
      <c r="AG2" s="275"/>
      <c r="AH2" s="273" t="s">
        <v>9</v>
      </c>
      <c r="AI2" s="274"/>
      <c r="AJ2" s="274"/>
      <c r="AK2" s="275"/>
      <c r="AL2" s="273" t="s">
        <v>10</v>
      </c>
      <c r="AM2" s="274"/>
      <c r="AN2" s="274"/>
      <c r="AO2" s="275"/>
      <c r="AP2" s="273" t="s">
        <v>11</v>
      </c>
      <c r="AQ2" s="274"/>
      <c r="AR2" s="274"/>
      <c r="AS2" s="274"/>
      <c r="AT2" s="273" t="s">
        <v>43</v>
      </c>
      <c r="AU2" s="274"/>
      <c r="AV2" s="274"/>
      <c r="AW2" s="275"/>
      <c r="AX2" s="273" t="s">
        <v>44</v>
      </c>
      <c r="AY2" s="274"/>
      <c r="AZ2" s="274"/>
      <c r="BA2" s="275"/>
      <c r="BB2" s="273" t="s">
        <v>45</v>
      </c>
      <c r="BC2" s="274"/>
      <c r="BD2" s="274"/>
      <c r="BE2" s="275"/>
      <c r="BF2" s="273" t="s">
        <v>46</v>
      </c>
      <c r="BG2" s="274"/>
      <c r="BH2" s="274"/>
      <c r="BI2" s="275"/>
      <c r="BJ2" s="273" t="s">
        <v>67</v>
      </c>
      <c r="BK2" s="274"/>
      <c r="BL2" s="274"/>
      <c r="BM2" s="274"/>
      <c r="BN2" s="275"/>
      <c r="BO2" s="273" t="s">
        <v>73</v>
      </c>
      <c r="BP2" s="274"/>
      <c r="BQ2" s="274"/>
      <c r="BR2" s="274"/>
      <c r="BS2" s="275"/>
      <c r="BT2" s="273" t="s">
        <v>72</v>
      </c>
      <c r="BU2" s="274"/>
      <c r="BV2" s="274"/>
      <c r="BW2" s="274"/>
      <c r="BX2" s="275"/>
      <c r="BY2" s="278" t="s">
        <v>71</v>
      </c>
      <c r="BZ2" s="274"/>
      <c r="CA2" s="274"/>
      <c r="CB2" s="274"/>
      <c r="CC2" s="275"/>
    </row>
    <row r="3" spans="1:81" ht="13.8" thickBot="1" x14ac:dyDescent="0.3">
      <c r="A3" s="284"/>
      <c r="B3" s="63">
        <v>1</v>
      </c>
      <c r="C3" s="64">
        <v>2</v>
      </c>
      <c r="D3" s="64">
        <v>3</v>
      </c>
      <c r="E3" s="65">
        <v>4</v>
      </c>
      <c r="F3" s="63">
        <v>1</v>
      </c>
      <c r="G3" s="64">
        <v>2</v>
      </c>
      <c r="H3" s="64">
        <v>3</v>
      </c>
      <c r="I3" s="65">
        <v>4</v>
      </c>
      <c r="J3" s="63">
        <v>1</v>
      </c>
      <c r="K3" s="64">
        <v>2</v>
      </c>
      <c r="L3" s="64">
        <v>3</v>
      </c>
      <c r="M3" s="65">
        <v>4</v>
      </c>
      <c r="N3" s="63">
        <v>1</v>
      </c>
      <c r="O3" s="64">
        <v>2</v>
      </c>
      <c r="P3" s="64">
        <v>3</v>
      </c>
      <c r="Q3" s="65">
        <v>4</v>
      </c>
      <c r="R3" s="63">
        <v>1</v>
      </c>
      <c r="S3" s="64">
        <v>2</v>
      </c>
      <c r="T3" s="64">
        <v>3</v>
      </c>
      <c r="U3" s="65">
        <v>4</v>
      </c>
      <c r="V3" s="63">
        <v>1</v>
      </c>
      <c r="W3" s="64">
        <v>2</v>
      </c>
      <c r="X3" s="64">
        <v>3</v>
      </c>
      <c r="Y3" s="65">
        <v>4</v>
      </c>
      <c r="Z3" s="63">
        <v>1</v>
      </c>
      <c r="AA3" s="64">
        <v>2</v>
      </c>
      <c r="AB3" s="64">
        <v>3</v>
      </c>
      <c r="AC3" s="65">
        <v>4</v>
      </c>
      <c r="AD3" s="63">
        <v>1</v>
      </c>
      <c r="AE3" s="64">
        <v>2</v>
      </c>
      <c r="AF3" s="64">
        <v>3</v>
      </c>
      <c r="AG3" s="65">
        <v>4</v>
      </c>
      <c r="AH3" s="63">
        <v>1</v>
      </c>
      <c r="AI3" s="64">
        <v>2</v>
      </c>
      <c r="AJ3" s="64">
        <v>3</v>
      </c>
      <c r="AK3" s="65">
        <v>4</v>
      </c>
      <c r="AL3" s="63">
        <v>1</v>
      </c>
      <c r="AM3" s="64">
        <v>2</v>
      </c>
      <c r="AN3" s="64">
        <v>3</v>
      </c>
      <c r="AO3" s="65">
        <v>4</v>
      </c>
      <c r="AP3" s="63">
        <v>1</v>
      </c>
      <c r="AQ3" s="64">
        <v>2</v>
      </c>
      <c r="AR3" s="64">
        <v>3</v>
      </c>
      <c r="AS3" s="90">
        <v>4</v>
      </c>
      <c r="AT3" s="63">
        <v>1</v>
      </c>
      <c r="AU3" s="64">
        <v>2</v>
      </c>
      <c r="AV3" s="64">
        <v>3</v>
      </c>
      <c r="AW3" s="65">
        <v>4</v>
      </c>
      <c r="AX3" s="63">
        <v>1</v>
      </c>
      <c r="AY3" s="64">
        <v>2</v>
      </c>
      <c r="AZ3" s="64">
        <v>3</v>
      </c>
      <c r="BA3" s="65">
        <v>4</v>
      </c>
      <c r="BB3" s="63">
        <v>1</v>
      </c>
      <c r="BC3" s="64">
        <v>2</v>
      </c>
      <c r="BD3" s="64">
        <v>3</v>
      </c>
      <c r="BE3" s="65">
        <v>4</v>
      </c>
      <c r="BF3" s="63">
        <v>1</v>
      </c>
      <c r="BG3" s="64">
        <v>2</v>
      </c>
      <c r="BH3" s="64">
        <v>3</v>
      </c>
      <c r="BI3" s="65">
        <v>4</v>
      </c>
      <c r="BJ3" s="63">
        <v>1</v>
      </c>
      <c r="BK3" s="64">
        <v>2</v>
      </c>
      <c r="BL3" s="64">
        <v>3</v>
      </c>
      <c r="BM3" s="64">
        <v>4</v>
      </c>
      <c r="BN3" s="65">
        <v>5</v>
      </c>
      <c r="BO3" s="63">
        <v>1</v>
      </c>
      <c r="BP3" s="64">
        <v>2</v>
      </c>
      <c r="BQ3" s="64">
        <v>3</v>
      </c>
      <c r="BR3" s="64">
        <v>4</v>
      </c>
      <c r="BS3" s="90">
        <v>5</v>
      </c>
      <c r="BT3" s="63">
        <v>1</v>
      </c>
      <c r="BU3" s="64">
        <v>2</v>
      </c>
      <c r="BV3" s="64">
        <v>3</v>
      </c>
      <c r="BW3" s="64">
        <v>4</v>
      </c>
      <c r="BX3" s="65">
        <v>5</v>
      </c>
      <c r="BY3" s="63">
        <v>1</v>
      </c>
      <c r="BZ3" s="64">
        <v>2</v>
      </c>
      <c r="CA3" s="64">
        <v>3</v>
      </c>
      <c r="CB3" s="64">
        <v>4</v>
      </c>
      <c r="CC3" s="65">
        <v>5</v>
      </c>
    </row>
    <row r="4" spans="1:81" ht="13.8" thickBot="1" x14ac:dyDescent="0.3">
      <c r="A4" s="25" t="s">
        <v>34</v>
      </c>
      <c r="B4" s="42" t="s">
        <v>12</v>
      </c>
      <c r="C4" s="176" t="s">
        <v>14</v>
      </c>
      <c r="D4" s="43" t="s">
        <v>12</v>
      </c>
      <c r="E4" s="44"/>
      <c r="F4" s="42" t="s">
        <v>12</v>
      </c>
      <c r="G4" s="43" t="s">
        <v>14</v>
      </c>
      <c r="H4" s="43"/>
      <c r="I4" s="44"/>
      <c r="J4" s="42" t="s">
        <v>13</v>
      </c>
      <c r="K4" s="43"/>
      <c r="L4" s="43"/>
      <c r="M4" s="44"/>
      <c r="N4" s="42" t="s">
        <v>12</v>
      </c>
      <c r="O4" s="43"/>
      <c r="P4" s="43"/>
      <c r="Q4" s="44"/>
      <c r="R4" s="42" t="s">
        <v>18</v>
      </c>
      <c r="S4" s="43" t="s">
        <v>12</v>
      </c>
      <c r="T4" s="43"/>
      <c r="U4" s="44"/>
      <c r="V4" s="42" t="s">
        <v>12</v>
      </c>
      <c r="W4" s="43"/>
      <c r="X4" s="43"/>
      <c r="Y4" s="44"/>
      <c r="Z4" s="42" t="s">
        <v>13</v>
      </c>
      <c r="AA4" s="43"/>
      <c r="AB4" s="43"/>
      <c r="AC4" s="44"/>
      <c r="AD4" s="42" t="s">
        <v>12</v>
      </c>
      <c r="AE4" s="43" t="s">
        <v>18</v>
      </c>
      <c r="AF4" s="43"/>
      <c r="AG4" s="44"/>
      <c r="AH4" s="42" t="s">
        <v>12</v>
      </c>
      <c r="AI4" s="43" t="s">
        <v>14</v>
      </c>
      <c r="AJ4" s="43"/>
      <c r="AK4" s="44"/>
      <c r="AL4" s="42" t="s">
        <v>12</v>
      </c>
      <c r="AM4" s="43"/>
      <c r="AN4" s="43"/>
      <c r="AO4" s="44"/>
      <c r="AP4" s="42" t="s">
        <v>12</v>
      </c>
      <c r="AQ4" s="43"/>
      <c r="AR4" s="43"/>
      <c r="AS4" s="86"/>
      <c r="AT4" s="42" t="s">
        <v>13</v>
      </c>
      <c r="AU4" s="43" t="s">
        <v>18</v>
      </c>
      <c r="AV4" s="43"/>
      <c r="AW4" s="44"/>
      <c r="AX4" s="42" t="s">
        <v>12</v>
      </c>
      <c r="AY4" s="43" t="s">
        <v>12</v>
      </c>
      <c r="AZ4" s="43"/>
      <c r="BA4" s="44"/>
      <c r="BB4" s="42" t="s">
        <v>18</v>
      </c>
      <c r="BC4" s="43" t="s">
        <v>14</v>
      </c>
      <c r="BD4" s="43"/>
      <c r="BE4" s="44"/>
      <c r="BF4" s="103" t="s">
        <v>18</v>
      </c>
      <c r="BG4" s="43"/>
      <c r="BH4" s="43"/>
      <c r="BI4" s="44"/>
      <c r="BJ4" s="76"/>
      <c r="BK4" s="10"/>
      <c r="BL4" s="10"/>
      <c r="BM4" s="10"/>
      <c r="BN4" s="77"/>
      <c r="BO4" s="42"/>
      <c r="BP4" s="43"/>
      <c r="BQ4" s="43"/>
      <c r="BR4" s="43"/>
      <c r="BS4" s="86"/>
      <c r="BT4" s="84" t="s">
        <v>48</v>
      </c>
      <c r="BU4" s="43"/>
      <c r="BV4" s="43"/>
      <c r="BW4" s="43"/>
      <c r="BX4" s="44"/>
      <c r="BY4" s="84" t="s">
        <v>48</v>
      </c>
      <c r="BZ4" s="43"/>
      <c r="CA4" s="43"/>
      <c r="CB4" s="43"/>
      <c r="CC4" s="44"/>
    </row>
    <row r="5" spans="1:81" ht="13.8" thickBot="1" x14ac:dyDescent="0.3">
      <c r="A5" s="26" t="s">
        <v>35</v>
      </c>
      <c r="B5" s="33" t="s">
        <v>14</v>
      </c>
      <c r="C5" s="14"/>
      <c r="D5" s="14"/>
      <c r="E5" s="34"/>
      <c r="F5" s="33" t="s">
        <v>12</v>
      </c>
      <c r="G5" s="14"/>
      <c r="H5" s="14"/>
      <c r="I5" s="34"/>
      <c r="J5" s="33" t="s">
        <v>12</v>
      </c>
      <c r="K5" s="14"/>
      <c r="L5" s="14"/>
      <c r="M5" s="34"/>
      <c r="N5" s="33" t="s">
        <v>13</v>
      </c>
      <c r="O5" s="14"/>
      <c r="P5" s="14"/>
      <c r="Q5" s="34"/>
      <c r="R5" s="33" t="s">
        <v>14</v>
      </c>
      <c r="S5" s="14"/>
      <c r="T5" s="14"/>
      <c r="U5" s="34"/>
      <c r="V5" s="33" t="s">
        <v>18</v>
      </c>
      <c r="W5" s="14" t="s">
        <v>18</v>
      </c>
      <c r="X5" s="14"/>
      <c r="Y5" s="34"/>
      <c r="Z5" s="42" t="s">
        <v>12</v>
      </c>
      <c r="AA5" s="43"/>
      <c r="AB5" s="43"/>
      <c r="AC5" s="44"/>
      <c r="AD5" s="42" t="s">
        <v>13</v>
      </c>
      <c r="AE5" s="43"/>
      <c r="AF5" s="43"/>
      <c r="AG5" s="44"/>
      <c r="AH5" s="42" t="s">
        <v>14</v>
      </c>
      <c r="AI5" s="43"/>
      <c r="AJ5" s="43"/>
      <c r="AK5" s="44"/>
      <c r="AL5" s="42" t="s">
        <v>12</v>
      </c>
      <c r="AM5" s="43"/>
      <c r="AN5" s="43"/>
      <c r="AO5" s="44"/>
      <c r="AP5" s="42" t="s">
        <v>12</v>
      </c>
      <c r="AQ5" s="43"/>
      <c r="AR5" s="43"/>
      <c r="AS5" s="86"/>
      <c r="AT5" s="42" t="s">
        <v>12</v>
      </c>
      <c r="AU5" s="43"/>
      <c r="AV5" s="43"/>
      <c r="AW5" s="44"/>
      <c r="AX5" s="42" t="s">
        <v>13</v>
      </c>
      <c r="AY5" s="43"/>
      <c r="AZ5" s="43"/>
      <c r="BA5" s="44"/>
      <c r="BB5" s="42" t="s">
        <v>14</v>
      </c>
      <c r="BC5" s="43" t="s">
        <v>14</v>
      </c>
      <c r="BD5" s="43"/>
      <c r="BE5" s="44"/>
      <c r="BF5" s="178" t="s">
        <v>18</v>
      </c>
      <c r="BG5" s="179" t="s">
        <v>18</v>
      </c>
      <c r="BH5" s="43"/>
      <c r="BI5" s="44"/>
      <c r="BJ5" s="78"/>
      <c r="BK5" s="15"/>
      <c r="BL5" s="15"/>
      <c r="BM5" s="15"/>
      <c r="BN5" s="79"/>
      <c r="BO5" s="84" t="s">
        <v>47</v>
      </c>
      <c r="BP5" s="43"/>
      <c r="BQ5" s="43"/>
      <c r="BR5" s="43"/>
      <c r="BS5" s="86"/>
      <c r="BT5" s="94"/>
      <c r="BU5" s="88"/>
      <c r="BV5" s="96" t="s">
        <v>48</v>
      </c>
      <c r="BW5" s="43"/>
      <c r="BX5" s="44"/>
      <c r="BY5" s="94"/>
      <c r="BZ5" s="88"/>
      <c r="CA5" s="96" t="s">
        <v>48</v>
      </c>
      <c r="CB5" s="43"/>
      <c r="CC5" s="44"/>
    </row>
    <row r="6" spans="1:81" s="4" customFormat="1" ht="13.8" thickBot="1" x14ac:dyDescent="0.3">
      <c r="A6" s="27" t="s">
        <v>28</v>
      </c>
      <c r="B6" s="35" t="s">
        <v>12</v>
      </c>
      <c r="C6" s="30"/>
      <c r="D6" s="30"/>
      <c r="E6" s="36"/>
      <c r="F6" s="35" t="s">
        <v>14</v>
      </c>
      <c r="G6" s="30"/>
      <c r="H6" s="30"/>
      <c r="I6" s="36"/>
      <c r="J6" s="35" t="s">
        <v>14</v>
      </c>
      <c r="K6" s="30"/>
      <c r="L6" s="30"/>
      <c r="M6" s="36"/>
      <c r="N6" s="35" t="s">
        <v>14</v>
      </c>
      <c r="O6" s="30"/>
      <c r="P6" s="30"/>
      <c r="Q6" s="36"/>
      <c r="R6" s="103" t="s">
        <v>15</v>
      </c>
      <c r="S6" s="30"/>
      <c r="T6" s="30"/>
      <c r="U6" s="36"/>
      <c r="V6" s="35" t="s">
        <v>14</v>
      </c>
      <c r="W6" s="30"/>
      <c r="X6" s="30"/>
      <c r="Y6" s="36"/>
      <c r="Z6" s="35" t="s">
        <v>14</v>
      </c>
      <c r="AA6" s="30"/>
      <c r="AB6" s="30"/>
      <c r="AC6" s="36"/>
      <c r="AD6" s="35" t="s">
        <v>12</v>
      </c>
      <c r="AE6" s="30"/>
      <c r="AF6" s="30"/>
      <c r="AG6" s="36"/>
      <c r="AH6" s="35" t="s">
        <v>14</v>
      </c>
      <c r="AI6" s="30"/>
      <c r="AJ6" s="30"/>
      <c r="AK6" s="36"/>
      <c r="AL6" s="35" t="s">
        <v>14</v>
      </c>
      <c r="AM6" s="30"/>
      <c r="AN6" s="30"/>
      <c r="AO6" s="36"/>
      <c r="AP6" s="103" t="s">
        <v>15</v>
      </c>
      <c r="AQ6" s="30"/>
      <c r="AR6" s="30"/>
      <c r="AS6" s="87"/>
      <c r="AT6" s="35" t="s">
        <v>14</v>
      </c>
      <c r="AU6" s="30"/>
      <c r="AV6" s="30"/>
      <c r="AW6" s="36"/>
      <c r="AX6" s="35" t="s">
        <v>14</v>
      </c>
      <c r="AY6" s="30"/>
      <c r="AZ6" s="30"/>
      <c r="BA6" s="36"/>
      <c r="BB6" s="103" t="s">
        <v>15</v>
      </c>
      <c r="BC6" s="30"/>
      <c r="BD6" s="30"/>
      <c r="BE6" s="36"/>
      <c r="BF6" s="35"/>
      <c r="BG6" s="177"/>
      <c r="BH6" s="30"/>
      <c r="BI6" s="36"/>
      <c r="BJ6" s="116"/>
      <c r="BK6" s="82"/>
      <c r="BL6" s="82"/>
      <c r="BM6" s="82"/>
      <c r="BN6" s="117"/>
      <c r="BO6" s="35"/>
      <c r="BP6" s="30"/>
      <c r="BQ6" s="30"/>
      <c r="BR6" s="30"/>
      <c r="BS6" s="87"/>
      <c r="BT6" s="95"/>
      <c r="BU6" s="89"/>
      <c r="BV6" s="97" t="s">
        <v>48</v>
      </c>
      <c r="BW6" s="30"/>
      <c r="BX6" s="36"/>
      <c r="BY6" s="95"/>
      <c r="BZ6" s="89"/>
      <c r="CA6" s="97" t="s">
        <v>48</v>
      </c>
      <c r="CB6" s="30"/>
      <c r="CC6" s="36"/>
    </row>
    <row r="7" spans="1:81" s="8" customFormat="1" ht="13.2" x14ac:dyDescent="0.25">
      <c r="A7" s="28" t="s">
        <v>37</v>
      </c>
      <c r="B7" s="37" t="s">
        <v>12</v>
      </c>
      <c r="C7" s="31" t="s">
        <v>14</v>
      </c>
      <c r="D7" s="31"/>
      <c r="E7" s="38"/>
      <c r="F7" s="37" t="s">
        <v>14</v>
      </c>
      <c r="G7" s="31" t="s">
        <v>12</v>
      </c>
      <c r="H7" s="31" t="s">
        <v>14</v>
      </c>
      <c r="I7" s="38"/>
      <c r="J7" s="37" t="s">
        <v>14</v>
      </c>
      <c r="K7" s="31" t="s">
        <v>12</v>
      </c>
      <c r="L7" s="31" t="s">
        <v>14</v>
      </c>
      <c r="M7" s="38"/>
      <c r="N7" s="37" t="s">
        <v>14</v>
      </c>
      <c r="O7" s="31" t="s">
        <v>14</v>
      </c>
      <c r="P7" s="30" t="s">
        <v>12</v>
      </c>
      <c r="Q7" s="38"/>
      <c r="R7" s="37" t="s">
        <v>14</v>
      </c>
      <c r="S7" s="31" t="s">
        <v>14</v>
      </c>
      <c r="T7" s="31"/>
      <c r="U7" s="38"/>
      <c r="V7" s="37" t="s">
        <v>14</v>
      </c>
      <c r="W7" s="102" t="s">
        <v>15</v>
      </c>
      <c r="X7" s="31" t="s">
        <v>12</v>
      </c>
      <c r="Y7" s="38"/>
      <c r="Z7" s="37" t="s">
        <v>14</v>
      </c>
      <c r="AA7" s="31" t="s">
        <v>14</v>
      </c>
      <c r="AB7" s="31" t="s">
        <v>12</v>
      </c>
      <c r="AC7" s="38"/>
      <c r="AD7" s="37" t="s">
        <v>14</v>
      </c>
      <c r="AE7" s="31" t="s">
        <v>14</v>
      </c>
      <c r="AF7" s="31" t="s">
        <v>12</v>
      </c>
      <c r="AG7" s="38"/>
      <c r="AH7" s="37" t="s">
        <v>14</v>
      </c>
      <c r="AI7" s="31" t="s">
        <v>14</v>
      </c>
      <c r="AJ7" s="31" t="s">
        <v>12</v>
      </c>
      <c r="AK7" s="46"/>
      <c r="AL7" s="37" t="s">
        <v>14</v>
      </c>
      <c r="AM7" s="31" t="s">
        <v>14</v>
      </c>
      <c r="AN7" s="31"/>
      <c r="AO7" s="38"/>
      <c r="AP7" s="37" t="s">
        <v>13</v>
      </c>
      <c r="AQ7" s="31" t="s">
        <v>14</v>
      </c>
      <c r="AR7" s="31"/>
      <c r="AS7" s="147"/>
      <c r="AT7" s="149" t="s">
        <v>15</v>
      </c>
      <c r="AU7" s="148" t="s">
        <v>12</v>
      </c>
      <c r="AV7" s="31" t="s">
        <v>14</v>
      </c>
      <c r="AW7" s="38"/>
      <c r="AX7" s="37" t="s">
        <v>14</v>
      </c>
      <c r="AY7" s="31" t="s">
        <v>12</v>
      </c>
      <c r="AZ7" s="31" t="s">
        <v>14</v>
      </c>
      <c r="BA7" s="38"/>
      <c r="BB7" s="37" t="s">
        <v>14</v>
      </c>
      <c r="BC7" s="31" t="s">
        <v>13</v>
      </c>
      <c r="BD7" s="31" t="s">
        <v>12</v>
      </c>
      <c r="BE7" s="38"/>
      <c r="BF7" s="37" t="s">
        <v>14</v>
      </c>
      <c r="BG7" s="31" t="s">
        <v>14</v>
      </c>
      <c r="BH7" s="31"/>
      <c r="BI7" s="38"/>
      <c r="BJ7" s="116"/>
      <c r="BK7" s="82"/>
      <c r="BL7" s="82"/>
      <c r="BM7" s="82"/>
      <c r="BN7" s="117"/>
      <c r="BP7" s="31"/>
      <c r="BQ7" s="31"/>
      <c r="BR7" s="31"/>
      <c r="BS7" s="91" t="s">
        <v>47</v>
      </c>
      <c r="BT7" s="37"/>
      <c r="BU7" s="31"/>
      <c r="BV7" s="31"/>
      <c r="BW7" s="31"/>
      <c r="BX7" s="100" t="s">
        <v>48</v>
      </c>
      <c r="BY7" s="37"/>
      <c r="BZ7" s="31"/>
      <c r="CA7" s="31"/>
      <c r="CB7" s="31"/>
      <c r="CC7" s="100" t="s">
        <v>48</v>
      </c>
    </row>
    <row r="8" spans="1:81" ht="13.8" thickBot="1" x14ac:dyDescent="0.3">
      <c r="A8" s="26" t="s">
        <v>29</v>
      </c>
      <c r="B8" s="33" t="s">
        <v>12</v>
      </c>
      <c r="C8" s="14" t="s">
        <v>14</v>
      </c>
      <c r="E8" s="34"/>
      <c r="F8" s="33" t="s">
        <v>12</v>
      </c>
      <c r="G8" s="14" t="s">
        <v>14</v>
      </c>
      <c r="H8" s="14" t="s">
        <v>14</v>
      </c>
      <c r="I8" s="34"/>
      <c r="J8" s="33" t="s">
        <v>14</v>
      </c>
      <c r="K8" s="14" t="s">
        <v>14</v>
      </c>
      <c r="L8" s="14" t="s">
        <v>12</v>
      </c>
      <c r="M8" s="34"/>
      <c r="N8" s="33" t="s">
        <v>14</v>
      </c>
      <c r="O8" s="14" t="s">
        <v>12</v>
      </c>
      <c r="P8" s="14" t="s">
        <v>14</v>
      </c>
      <c r="Q8" s="34"/>
      <c r="R8" s="33" t="s">
        <v>14</v>
      </c>
      <c r="S8" s="14" t="s">
        <v>12</v>
      </c>
      <c r="T8" s="14" t="s">
        <v>14</v>
      </c>
      <c r="U8" s="34"/>
      <c r="V8" s="33" t="s">
        <v>14</v>
      </c>
      <c r="W8" s="14" t="s">
        <v>12</v>
      </c>
      <c r="X8" s="14" t="s">
        <v>14</v>
      </c>
      <c r="Y8" s="34"/>
      <c r="Z8" s="33" t="s">
        <v>12</v>
      </c>
      <c r="AA8" s="14" t="s">
        <v>14</v>
      </c>
      <c r="AB8" s="14" t="s">
        <v>12</v>
      </c>
      <c r="AC8" s="34"/>
      <c r="AD8" s="33" t="s">
        <v>14</v>
      </c>
      <c r="AE8" s="14" t="s">
        <v>14</v>
      </c>
      <c r="AF8" s="14"/>
      <c r="AG8" s="34"/>
      <c r="AH8" s="102" t="s">
        <v>15</v>
      </c>
      <c r="AI8" s="14" t="s">
        <v>12</v>
      </c>
      <c r="AJ8" s="14" t="s">
        <v>14</v>
      </c>
      <c r="AK8" s="34"/>
      <c r="AL8" s="33" t="s">
        <v>14</v>
      </c>
      <c r="AM8" s="14" t="s">
        <v>12</v>
      </c>
      <c r="AN8" s="14" t="s">
        <v>14</v>
      </c>
      <c r="AO8" s="34"/>
      <c r="AP8" s="33" t="s">
        <v>14</v>
      </c>
      <c r="AQ8" s="14" t="s">
        <v>12</v>
      </c>
      <c r="AR8" s="14"/>
      <c r="AS8" s="92"/>
      <c r="AT8" s="33" t="s">
        <v>14</v>
      </c>
      <c r="AU8" s="14" t="s">
        <v>14</v>
      </c>
      <c r="AV8" s="14"/>
      <c r="AW8" s="34"/>
      <c r="AX8" s="103" t="s">
        <v>15</v>
      </c>
      <c r="AY8" s="14" t="s">
        <v>12</v>
      </c>
      <c r="AZ8" s="14" t="s">
        <v>14</v>
      </c>
      <c r="BA8" s="34"/>
      <c r="BB8" s="33" t="s">
        <v>14</v>
      </c>
      <c r="BC8" s="14" t="s">
        <v>12</v>
      </c>
      <c r="BD8" s="14" t="s">
        <v>14</v>
      </c>
      <c r="BE8" s="34"/>
      <c r="BF8" s="33" t="s">
        <v>14</v>
      </c>
      <c r="BG8" s="14" t="s">
        <v>14</v>
      </c>
      <c r="BH8" s="14"/>
      <c r="BI8" s="34"/>
      <c r="BJ8" s="167"/>
      <c r="BK8" s="14"/>
      <c r="BL8" s="14"/>
      <c r="BM8" s="14"/>
      <c r="BN8" s="34"/>
      <c r="BO8" s="33"/>
      <c r="BP8" s="14"/>
      <c r="BQ8" s="14"/>
      <c r="BR8" s="14"/>
      <c r="BS8" s="92"/>
      <c r="BT8" s="33"/>
      <c r="BU8" s="98" t="s">
        <v>48</v>
      </c>
      <c r="BV8" s="14"/>
      <c r="BW8" s="14"/>
      <c r="BX8" s="34"/>
      <c r="BY8" s="33"/>
      <c r="BZ8" s="98" t="s">
        <v>48</v>
      </c>
      <c r="CA8" s="14"/>
      <c r="CB8" s="14"/>
      <c r="CC8" s="34"/>
    </row>
    <row r="9" spans="1:81" ht="13.8" thickBot="1" x14ac:dyDescent="0.3">
      <c r="A9" s="29" t="s">
        <v>30</v>
      </c>
      <c r="B9" s="39" t="s">
        <v>12</v>
      </c>
      <c r="C9" s="40"/>
      <c r="D9" s="40"/>
      <c r="E9" s="41"/>
      <c r="F9" s="39" t="s">
        <v>12</v>
      </c>
      <c r="G9" s="40"/>
      <c r="H9" s="40"/>
      <c r="I9" s="41"/>
      <c r="J9" s="39" t="s">
        <v>49</v>
      </c>
      <c r="K9" s="40"/>
      <c r="L9" s="40"/>
      <c r="M9" s="41"/>
      <c r="N9" s="39" t="s">
        <v>12</v>
      </c>
      <c r="O9" s="40"/>
      <c r="P9" s="40"/>
      <c r="Q9" s="41"/>
      <c r="R9" s="39" t="s">
        <v>49</v>
      </c>
      <c r="S9" s="40"/>
      <c r="T9" s="40"/>
      <c r="U9" s="41"/>
      <c r="V9" s="39" t="s">
        <v>12</v>
      </c>
      <c r="W9" s="40"/>
      <c r="X9" s="40"/>
      <c r="Y9" s="41"/>
      <c r="Z9" s="39" t="s">
        <v>13</v>
      </c>
      <c r="AA9" s="40"/>
      <c r="AB9" s="40"/>
      <c r="AC9" s="41"/>
      <c r="AD9" s="39" t="s">
        <v>12</v>
      </c>
      <c r="AE9" s="40"/>
      <c r="AF9" s="40"/>
      <c r="AG9" s="41"/>
      <c r="AH9" s="47" t="s">
        <v>12</v>
      </c>
      <c r="AI9" s="40"/>
      <c r="AJ9" s="40"/>
      <c r="AK9" s="41"/>
      <c r="AL9" s="39" t="s">
        <v>13</v>
      </c>
      <c r="AM9" s="40"/>
      <c r="AN9" s="40"/>
      <c r="AO9" s="41"/>
      <c r="AP9" s="39" t="s">
        <v>12</v>
      </c>
      <c r="AQ9" s="40"/>
      <c r="AR9" s="40"/>
      <c r="AS9" s="93"/>
      <c r="AT9" s="39" t="s">
        <v>14</v>
      </c>
      <c r="AU9" s="40"/>
      <c r="AV9" s="40"/>
      <c r="AW9" s="41"/>
      <c r="AX9" s="45"/>
      <c r="AY9" s="40"/>
      <c r="AZ9" s="40"/>
      <c r="BA9" s="104" t="s">
        <v>15</v>
      </c>
      <c r="BB9" s="39" t="s">
        <v>12</v>
      </c>
      <c r="BC9" s="40"/>
      <c r="BD9" s="40"/>
      <c r="BE9" s="41"/>
      <c r="BF9" s="39" t="s">
        <v>12</v>
      </c>
      <c r="BG9" s="40" t="s">
        <v>13</v>
      </c>
      <c r="BH9" s="40"/>
      <c r="BI9" s="41"/>
      <c r="BJ9" s="39"/>
      <c r="BK9" s="40"/>
      <c r="BL9" s="40"/>
      <c r="BM9" s="40"/>
      <c r="BN9" s="41"/>
      <c r="BO9" s="39"/>
      <c r="BP9" s="40"/>
      <c r="BQ9" s="40"/>
      <c r="BR9" s="40"/>
      <c r="BS9" s="93"/>
      <c r="BT9" s="39"/>
      <c r="BU9" s="40"/>
      <c r="BV9" s="40"/>
      <c r="BW9" s="99" t="s">
        <v>48</v>
      </c>
      <c r="BX9" s="41"/>
      <c r="BY9" s="39"/>
      <c r="BZ9" s="40"/>
      <c r="CA9" s="40"/>
      <c r="CB9" s="99" t="s">
        <v>48</v>
      </c>
      <c r="CC9" s="41"/>
    </row>
    <row r="10" spans="1:81" ht="13.8" thickTop="1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 spans="1:81" ht="13.2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0"/>
      <c r="BK11" s="20"/>
      <c r="BL11" s="20"/>
      <c r="BM11" s="20"/>
      <c r="BN11" s="20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</row>
    <row r="12" spans="1:81" ht="13.2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</row>
    <row r="13" spans="1:81" ht="13.2" x14ac:dyDescent="0.25">
      <c r="A13" s="171" t="s">
        <v>0</v>
      </c>
      <c r="B13" s="101" t="s">
        <v>17</v>
      </c>
      <c r="C13" s="101" t="s">
        <v>12</v>
      </c>
      <c r="D13" s="101" t="s">
        <v>14</v>
      </c>
      <c r="E13" s="101" t="s">
        <v>13</v>
      </c>
      <c r="F13" s="101" t="s">
        <v>49</v>
      </c>
      <c r="G13" s="101" t="s">
        <v>16</v>
      </c>
      <c r="H13" s="101" t="s">
        <v>18</v>
      </c>
      <c r="I13" s="101" t="s">
        <v>15</v>
      </c>
      <c r="J13" s="101" t="s">
        <v>19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 t="s">
        <v>53</v>
      </c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</row>
    <row r="14" spans="1:81" ht="13.2" x14ac:dyDescent="0.25">
      <c r="A14" s="12" t="s">
        <v>34</v>
      </c>
      <c r="B14" s="11">
        <f t="shared" ref="B14:B19" si="0">SUM(C14:I14)</f>
        <v>48</v>
      </c>
      <c r="C14" s="11">
        <f t="shared" ref="C14:I16" si="1">COUNTIF($B4:$BI4,C$13)*2</f>
        <v>24</v>
      </c>
      <c r="D14" s="11">
        <f t="shared" si="1"/>
        <v>8</v>
      </c>
      <c r="E14" s="11">
        <f t="shared" si="1"/>
        <v>6</v>
      </c>
      <c r="F14" s="11">
        <f t="shared" si="1"/>
        <v>0</v>
      </c>
      <c r="G14" s="11">
        <f t="shared" si="1"/>
        <v>0</v>
      </c>
      <c r="H14" s="11">
        <f t="shared" si="1"/>
        <v>10</v>
      </c>
      <c r="I14" s="11">
        <f t="shared" si="1"/>
        <v>0</v>
      </c>
      <c r="J14" s="174">
        <f>C14/B14</f>
        <v>0.5</v>
      </c>
      <c r="K14" s="2"/>
      <c r="L14" s="2"/>
      <c r="M14" s="2"/>
      <c r="N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</row>
    <row r="15" spans="1:81" ht="13.2" x14ac:dyDescent="0.25">
      <c r="A15" s="12" t="s">
        <v>35</v>
      </c>
      <c r="B15" s="11">
        <f t="shared" si="0"/>
        <v>36</v>
      </c>
      <c r="C15" s="11">
        <f t="shared" si="1"/>
        <v>12</v>
      </c>
      <c r="D15" s="11">
        <f t="shared" si="1"/>
        <v>10</v>
      </c>
      <c r="E15" s="11">
        <f t="shared" si="1"/>
        <v>6</v>
      </c>
      <c r="F15" s="11">
        <f t="shared" si="1"/>
        <v>0</v>
      </c>
      <c r="G15" s="11">
        <f t="shared" si="1"/>
        <v>0</v>
      </c>
      <c r="H15" s="11">
        <f t="shared" si="1"/>
        <v>8</v>
      </c>
      <c r="I15" s="11">
        <f t="shared" si="1"/>
        <v>0</v>
      </c>
      <c r="J15" s="174">
        <f t="shared" ref="J15:J19" si="2">C15/B15</f>
        <v>0.33333333333333331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</row>
    <row r="16" spans="1:81" ht="13.2" x14ac:dyDescent="0.25">
      <c r="A16" s="13" t="s">
        <v>28</v>
      </c>
      <c r="B16" s="11">
        <f t="shared" si="0"/>
        <v>28</v>
      </c>
      <c r="C16" s="11">
        <f t="shared" si="1"/>
        <v>4</v>
      </c>
      <c r="D16" s="11">
        <f t="shared" si="1"/>
        <v>18</v>
      </c>
      <c r="E16" s="11">
        <f t="shared" si="1"/>
        <v>0</v>
      </c>
      <c r="F16" s="11">
        <f t="shared" si="1"/>
        <v>0</v>
      </c>
      <c r="G16" s="11">
        <f t="shared" si="1"/>
        <v>0</v>
      </c>
      <c r="H16" s="11">
        <f t="shared" si="1"/>
        <v>0</v>
      </c>
      <c r="I16" s="11">
        <f t="shared" si="1"/>
        <v>6</v>
      </c>
      <c r="J16" s="174">
        <f t="shared" si="2"/>
        <v>0.14285714285714285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</row>
    <row r="17" spans="1:81" ht="13.2" x14ac:dyDescent="0.25">
      <c r="A17" s="150" t="s">
        <v>37</v>
      </c>
      <c r="B17" s="11">
        <f t="shared" si="0"/>
        <v>80</v>
      </c>
      <c r="C17" s="11">
        <f t="shared" ref="C17:I19" si="3">COUNTIF($B7:$BI7,C$13)*2</f>
        <v>22</v>
      </c>
      <c r="D17" s="11">
        <f t="shared" si="3"/>
        <v>50</v>
      </c>
      <c r="E17" s="11">
        <f t="shared" si="3"/>
        <v>4</v>
      </c>
      <c r="F17" s="11">
        <f t="shared" si="3"/>
        <v>0</v>
      </c>
      <c r="G17" s="11">
        <f t="shared" si="3"/>
        <v>0</v>
      </c>
      <c r="H17" s="11">
        <f t="shared" si="3"/>
        <v>0</v>
      </c>
      <c r="I17" s="11">
        <f t="shared" si="3"/>
        <v>4</v>
      </c>
      <c r="J17" s="174">
        <f t="shared" si="2"/>
        <v>0.27500000000000002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</row>
    <row r="18" spans="1:81" ht="13.2" x14ac:dyDescent="0.25">
      <c r="A18" s="12" t="s">
        <v>29</v>
      </c>
      <c r="B18" s="11">
        <f t="shared" si="0"/>
        <v>80</v>
      </c>
      <c r="C18" s="11">
        <f t="shared" si="3"/>
        <v>26</v>
      </c>
      <c r="D18" s="11">
        <f t="shared" si="3"/>
        <v>50</v>
      </c>
      <c r="E18" s="11">
        <f t="shared" si="3"/>
        <v>0</v>
      </c>
      <c r="F18" s="11">
        <f t="shared" si="3"/>
        <v>0</v>
      </c>
      <c r="G18" s="11">
        <f t="shared" si="3"/>
        <v>0</v>
      </c>
      <c r="H18" s="11">
        <f t="shared" si="3"/>
        <v>0</v>
      </c>
      <c r="I18" s="11">
        <f t="shared" si="3"/>
        <v>4</v>
      </c>
      <c r="J18" s="174">
        <f t="shared" si="2"/>
        <v>0.32500000000000001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</row>
    <row r="19" spans="1:81" ht="13.2" x14ac:dyDescent="0.25">
      <c r="A19" s="12" t="s">
        <v>30</v>
      </c>
      <c r="B19" s="11">
        <f t="shared" si="0"/>
        <v>32</v>
      </c>
      <c r="C19" s="11">
        <f t="shared" si="3"/>
        <v>18</v>
      </c>
      <c r="D19" s="11">
        <f t="shared" si="3"/>
        <v>2</v>
      </c>
      <c r="E19" s="11">
        <f t="shared" si="3"/>
        <v>6</v>
      </c>
      <c r="F19" s="11">
        <f t="shared" si="3"/>
        <v>4</v>
      </c>
      <c r="G19" s="11">
        <f t="shared" si="3"/>
        <v>0</v>
      </c>
      <c r="H19" s="11">
        <f t="shared" si="3"/>
        <v>0</v>
      </c>
      <c r="I19" s="11">
        <f t="shared" si="3"/>
        <v>2</v>
      </c>
      <c r="J19" s="174">
        <f t="shared" si="2"/>
        <v>0.5625</v>
      </c>
      <c r="K19" s="2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</row>
    <row r="20" spans="1:81" ht="13.2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</row>
    <row r="21" spans="1:81" ht="13.2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</row>
    <row r="22" spans="1:81" ht="13.2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</row>
    <row r="23" spans="1:81" ht="13.2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</row>
    <row r="24" spans="1:81" ht="13.2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</row>
    <row r="25" spans="1:81" ht="13.2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</row>
    <row r="26" spans="1:81" ht="13.2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</row>
    <row r="27" spans="1:81" ht="13.2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</row>
    <row r="28" spans="1:81" ht="13.2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</row>
    <row r="29" spans="1:81" ht="13.2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</row>
    <row r="30" spans="1:81" ht="13.2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</row>
    <row r="31" spans="1:81" ht="13.2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</row>
    <row r="32" spans="1:81" ht="13.2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</row>
    <row r="33" spans="2:81" ht="13.2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</row>
    <row r="34" spans="2:81" ht="13.2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</row>
    <row r="35" spans="2:81" ht="13.2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</row>
    <row r="36" spans="2:81" ht="13.2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</row>
    <row r="37" spans="2:81" ht="13.2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</row>
    <row r="38" spans="2:81" ht="13.2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</row>
    <row r="39" spans="2:81" ht="13.2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</row>
    <row r="40" spans="2:81" ht="13.2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</row>
    <row r="41" spans="2:81" ht="13.2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</row>
    <row r="42" spans="2:81" ht="13.2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</row>
    <row r="43" spans="2:81" ht="13.2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</row>
    <row r="44" spans="2:81" ht="13.2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</row>
    <row r="45" spans="2:81" ht="13.2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</row>
    <row r="46" spans="2:81" ht="13.2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</row>
    <row r="47" spans="2:81" ht="13.2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</row>
    <row r="48" spans="2:81" ht="13.2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</row>
    <row r="49" spans="2:81" ht="13.2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</row>
    <row r="50" spans="2:81" ht="13.2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</row>
    <row r="51" spans="2:81" ht="13.2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</row>
    <row r="52" spans="2:81" ht="13.2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</row>
    <row r="53" spans="2:81" ht="13.2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</row>
    <row r="54" spans="2:81" ht="13.2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</row>
    <row r="55" spans="2:81" ht="13.2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</row>
    <row r="56" spans="2:81" ht="13.2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</row>
    <row r="57" spans="2:81" ht="13.2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</row>
    <row r="58" spans="2:81" ht="13.2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</row>
    <row r="59" spans="2:81" ht="13.2" x14ac:dyDescent="0.2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</row>
    <row r="60" spans="2:81" ht="13.2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</row>
    <row r="61" spans="2:81" ht="13.2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</row>
    <row r="62" spans="2:81" ht="13.2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</row>
    <row r="63" spans="2:81" ht="13.2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</row>
    <row r="64" spans="2:81" ht="13.2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</row>
    <row r="65" spans="2:81" ht="13.2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</row>
    <row r="66" spans="2:81" ht="13.2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</row>
    <row r="67" spans="2:81" ht="13.2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</row>
    <row r="68" spans="2:81" ht="13.2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</row>
    <row r="69" spans="2:81" ht="13.2" x14ac:dyDescent="0.2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</row>
    <row r="70" spans="2:81" ht="13.2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</row>
    <row r="71" spans="2:81" ht="13.2" x14ac:dyDescent="0.2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</row>
    <row r="72" spans="2:81" ht="13.2" x14ac:dyDescent="0.2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</row>
    <row r="73" spans="2:81" ht="13.2" x14ac:dyDescent="0.2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</row>
    <row r="74" spans="2:81" ht="13.2" x14ac:dyDescent="0.2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</row>
    <row r="75" spans="2:81" ht="13.2" x14ac:dyDescent="0.2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</row>
    <row r="76" spans="2:81" ht="13.2" x14ac:dyDescent="0.2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</row>
    <row r="77" spans="2:81" ht="13.2" x14ac:dyDescent="0.2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 spans="2:81" ht="13.2" x14ac:dyDescent="0.2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spans="2:81" ht="13.2" x14ac:dyDescent="0.2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 spans="2:81" ht="13.2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 spans="2:81" ht="13.2" x14ac:dyDescent="0.2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 spans="2:81" ht="13.2" x14ac:dyDescent="0.2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</row>
    <row r="83" spans="2:81" ht="13.2" x14ac:dyDescent="0.2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</row>
    <row r="84" spans="2:81" ht="13.2" x14ac:dyDescent="0.2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</row>
    <row r="85" spans="2:81" ht="13.2" x14ac:dyDescent="0.2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</row>
    <row r="86" spans="2:81" ht="13.2" x14ac:dyDescent="0.2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</row>
    <row r="87" spans="2:81" ht="13.2" x14ac:dyDescent="0.2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</row>
    <row r="88" spans="2:81" ht="13.2" x14ac:dyDescent="0.2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</row>
    <row r="89" spans="2:81" ht="13.2" x14ac:dyDescent="0.2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</row>
    <row r="90" spans="2:81" ht="13.2" x14ac:dyDescent="0.2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</row>
    <row r="91" spans="2:81" ht="13.2" x14ac:dyDescent="0.2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</row>
    <row r="92" spans="2:81" ht="13.2" x14ac:dyDescent="0.2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</row>
    <row r="93" spans="2:81" ht="13.2" x14ac:dyDescent="0.2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</row>
    <row r="94" spans="2:81" ht="13.2" x14ac:dyDescent="0.2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</row>
    <row r="95" spans="2:81" ht="13.2" x14ac:dyDescent="0.2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</row>
    <row r="96" spans="2:81" ht="13.2" x14ac:dyDescent="0.2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</row>
    <row r="97" spans="2:81" ht="13.2" x14ac:dyDescent="0.2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</row>
    <row r="98" spans="2:81" ht="13.2" x14ac:dyDescent="0.2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</row>
    <row r="99" spans="2:81" ht="13.2" x14ac:dyDescent="0.2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</row>
    <row r="100" spans="2:81" ht="13.2" x14ac:dyDescent="0.2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</row>
    <row r="101" spans="2:81" ht="13.2" x14ac:dyDescent="0.2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</row>
    <row r="102" spans="2:81" ht="13.2" x14ac:dyDescent="0.2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</row>
    <row r="103" spans="2:81" ht="13.2" x14ac:dyDescent="0.2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</row>
    <row r="104" spans="2:81" ht="13.2" x14ac:dyDescent="0.2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</row>
    <row r="105" spans="2:81" ht="13.2" x14ac:dyDescent="0.2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</row>
    <row r="106" spans="2:81" ht="13.2" x14ac:dyDescent="0.2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</row>
    <row r="107" spans="2:81" ht="13.2" x14ac:dyDescent="0.2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</row>
    <row r="108" spans="2:81" ht="13.2" x14ac:dyDescent="0.2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</row>
    <row r="109" spans="2:81" ht="13.2" x14ac:dyDescent="0.2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</row>
    <row r="110" spans="2:81" ht="13.2" x14ac:dyDescent="0.2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</row>
    <row r="111" spans="2:81" ht="13.2" x14ac:dyDescent="0.2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</row>
    <row r="112" spans="2:81" ht="13.2" x14ac:dyDescent="0.2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</row>
    <row r="113" spans="2:81" ht="13.2" x14ac:dyDescent="0.2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</row>
    <row r="114" spans="2:81" ht="13.2" x14ac:dyDescent="0.2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</row>
    <row r="115" spans="2:81" ht="13.2" x14ac:dyDescent="0.2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</row>
    <row r="116" spans="2:81" ht="13.2" x14ac:dyDescent="0.2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</row>
    <row r="117" spans="2:81" ht="13.2" x14ac:dyDescent="0.2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</row>
    <row r="118" spans="2:81" ht="13.2" x14ac:dyDescent="0.2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</row>
    <row r="119" spans="2:81" ht="13.2" x14ac:dyDescent="0.2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</row>
    <row r="120" spans="2:81" ht="13.2" x14ac:dyDescent="0.2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</row>
    <row r="121" spans="2:81" ht="13.2" x14ac:dyDescent="0.2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</row>
    <row r="122" spans="2:81" ht="13.2" x14ac:dyDescent="0.2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</row>
    <row r="123" spans="2:81" ht="13.2" x14ac:dyDescent="0.2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</row>
    <row r="124" spans="2:81" ht="13.2" x14ac:dyDescent="0.2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</row>
    <row r="125" spans="2:81" ht="13.2" x14ac:dyDescent="0.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</row>
    <row r="126" spans="2:81" ht="13.2" x14ac:dyDescent="0.2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</row>
    <row r="127" spans="2:81" ht="13.2" x14ac:dyDescent="0.2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</row>
    <row r="128" spans="2:81" ht="13.2" x14ac:dyDescent="0.2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</row>
    <row r="129" spans="2:81" ht="13.2" x14ac:dyDescent="0.2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</row>
    <row r="130" spans="2:81" ht="13.2" x14ac:dyDescent="0.2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</row>
    <row r="131" spans="2:81" ht="13.2" x14ac:dyDescent="0.2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</row>
    <row r="132" spans="2:81" ht="13.2" x14ac:dyDescent="0.2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</row>
    <row r="133" spans="2:81" ht="13.2" x14ac:dyDescent="0.2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</row>
    <row r="134" spans="2:81" ht="13.2" x14ac:dyDescent="0.2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</row>
    <row r="135" spans="2:81" ht="13.2" x14ac:dyDescent="0.2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</row>
    <row r="136" spans="2:81" ht="13.2" x14ac:dyDescent="0.2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</row>
    <row r="137" spans="2:81" ht="13.2" x14ac:dyDescent="0.2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</row>
    <row r="138" spans="2:81" ht="13.2" x14ac:dyDescent="0.2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</row>
    <row r="139" spans="2:81" ht="13.2" x14ac:dyDescent="0.2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</row>
    <row r="140" spans="2:81" ht="13.2" x14ac:dyDescent="0.2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</row>
    <row r="141" spans="2:81" ht="13.2" x14ac:dyDescent="0.2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</row>
    <row r="142" spans="2:81" ht="13.2" x14ac:dyDescent="0.2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</row>
    <row r="143" spans="2:81" ht="13.2" x14ac:dyDescent="0.2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</row>
    <row r="144" spans="2:81" ht="13.2" x14ac:dyDescent="0.2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</row>
    <row r="145" spans="2:81" ht="13.2" x14ac:dyDescent="0.2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</row>
    <row r="146" spans="2:81" ht="13.2" x14ac:dyDescent="0.2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</row>
    <row r="147" spans="2:81" ht="13.2" x14ac:dyDescent="0.2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</row>
    <row r="148" spans="2:81" ht="13.2" x14ac:dyDescent="0.2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</row>
    <row r="149" spans="2:81" ht="13.2" x14ac:dyDescent="0.2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</row>
    <row r="150" spans="2:81" ht="13.2" x14ac:dyDescent="0.2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</row>
    <row r="151" spans="2:81" ht="13.2" x14ac:dyDescent="0.2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</row>
    <row r="152" spans="2:81" ht="13.2" x14ac:dyDescent="0.2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</row>
    <row r="153" spans="2:81" ht="13.2" x14ac:dyDescent="0.2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</row>
    <row r="154" spans="2:81" ht="13.2" x14ac:dyDescent="0.2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</row>
    <row r="155" spans="2:81" ht="13.2" x14ac:dyDescent="0.2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</row>
    <row r="156" spans="2:81" ht="13.2" x14ac:dyDescent="0.2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</row>
    <row r="157" spans="2:81" ht="13.2" x14ac:dyDescent="0.2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</row>
    <row r="158" spans="2:81" ht="13.2" x14ac:dyDescent="0.2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</row>
    <row r="159" spans="2:81" ht="13.2" x14ac:dyDescent="0.2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</row>
    <row r="160" spans="2:81" ht="13.2" x14ac:dyDescent="0.2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</row>
    <row r="161" spans="2:81" ht="13.2" x14ac:dyDescent="0.2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</row>
    <row r="162" spans="2:81" ht="13.2" x14ac:dyDescent="0.2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</row>
    <row r="163" spans="2:81" ht="13.2" x14ac:dyDescent="0.2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</row>
    <row r="164" spans="2:81" ht="13.2" x14ac:dyDescent="0.2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</row>
    <row r="165" spans="2:81" ht="13.2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</row>
    <row r="166" spans="2:81" ht="13.2" x14ac:dyDescent="0.2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</row>
    <row r="167" spans="2:81" ht="13.2" x14ac:dyDescent="0.2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</row>
    <row r="168" spans="2:81" ht="13.2" x14ac:dyDescent="0.2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</row>
    <row r="169" spans="2:81" ht="13.2" x14ac:dyDescent="0.2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</row>
    <row r="170" spans="2:81" ht="13.2" x14ac:dyDescent="0.2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</row>
    <row r="171" spans="2:81" ht="13.2" x14ac:dyDescent="0.2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</row>
    <row r="172" spans="2:81" ht="13.2" x14ac:dyDescent="0.2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</row>
    <row r="173" spans="2:81" ht="13.2" x14ac:dyDescent="0.2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</row>
    <row r="174" spans="2:81" ht="13.2" x14ac:dyDescent="0.2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</row>
    <row r="175" spans="2:81" ht="13.2" x14ac:dyDescent="0.2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</row>
    <row r="176" spans="2:81" ht="13.2" x14ac:dyDescent="0.2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</row>
    <row r="177" spans="2:81" ht="13.2" x14ac:dyDescent="0.2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</row>
    <row r="178" spans="2:81" ht="13.2" x14ac:dyDescent="0.2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</row>
    <row r="179" spans="2:81" ht="13.2" x14ac:dyDescent="0.2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</row>
    <row r="180" spans="2:81" ht="13.2" x14ac:dyDescent="0.2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</row>
    <row r="181" spans="2:81" ht="13.2" x14ac:dyDescent="0.2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</row>
    <row r="182" spans="2:81" ht="13.2" x14ac:dyDescent="0.2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</row>
    <row r="183" spans="2:81" ht="13.2" x14ac:dyDescent="0.2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</row>
    <row r="184" spans="2:81" ht="13.2" x14ac:dyDescent="0.2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</row>
    <row r="185" spans="2:81" ht="13.2" x14ac:dyDescent="0.2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</row>
    <row r="186" spans="2:81" ht="13.2" x14ac:dyDescent="0.2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</row>
    <row r="187" spans="2:81" ht="13.2" x14ac:dyDescent="0.2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</row>
    <row r="188" spans="2:81" ht="13.2" x14ac:dyDescent="0.2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</row>
    <row r="189" spans="2:81" ht="13.2" x14ac:dyDescent="0.2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</row>
    <row r="190" spans="2:81" ht="13.2" x14ac:dyDescent="0.2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</row>
    <row r="191" spans="2:81" ht="13.2" x14ac:dyDescent="0.2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</row>
    <row r="192" spans="2:81" ht="13.2" x14ac:dyDescent="0.2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</row>
    <row r="193" spans="2:81" ht="13.2" x14ac:dyDescent="0.2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</row>
    <row r="194" spans="2:81" ht="13.2" x14ac:dyDescent="0.2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</row>
    <row r="195" spans="2:81" ht="13.2" x14ac:dyDescent="0.2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</row>
    <row r="196" spans="2:81" ht="13.2" x14ac:dyDescent="0.2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</row>
    <row r="197" spans="2:81" ht="13.2" x14ac:dyDescent="0.2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</row>
    <row r="198" spans="2:81" ht="13.2" x14ac:dyDescent="0.2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</row>
    <row r="199" spans="2:81" ht="13.2" x14ac:dyDescent="0.2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</row>
    <row r="200" spans="2:81" ht="13.2" x14ac:dyDescent="0.2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</row>
    <row r="201" spans="2:81" ht="13.2" x14ac:dyDescent="0.2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</row>
    <row r="202" spans="2:81" ht="13.2" x14ac:dyDescent="0.2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</row>
    <row r="203" spans="2:81" ht="13.2" x14ac:dyDescent="0.2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</row>
    <row r="204" spans="2:81" ht="13.2" x14ac:dyDescent="0.2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</row>
    <row r="205" spans="2:81" ht="13.2" x14ac:dyDescent="0.2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</row>
    <row r="206" spans="2:81" ht="13.2" x14ac:dyDescent="0.2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</row>
    <row r="207" spans="2:81" ht="13.2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</row>
    <row r="208" spans="2:81" ht="13.2" x14ac:dyDescent="0.2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</row>
    <row r="209" spans="2:81" ht="13.2" x14ac:dyDescent="0.2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</row>
    <row r="210" spans="2:81" ht="13.2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</row>
    <row r="211" spans="2:81" ht="13.2" x14ac:dyDescent="0.2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</row>
    <row r="212" spans="2:81" ht="13.2" x14ac:dyDescent="0.2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</row>
    <row r="213" spans="2:81" ht="13.2" x14ac:dyDescent="0.2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</row>
    <row r="214" spans="2:81" ht="13.2" x14ac:dyDescent="0.2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</row>
    <row r="215" spans="2:81" ht="13.2" x14ac:dyDescent="0.2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</row>
    <row r="216" spans="2:81" ht="13.2" x14ac:dyDescent="0.2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</row>
    <row r="217" spans="2:81" ht="13.2" x14ac:dyDescent="0.2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</row>
    <row r="218" spans="2:81" ht="13.2" x14ac:dyDescent="0.2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</row>
    <row r="219" spans="2:81" ht="13.2" x14ac:dyDescent="0.2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</row>
    <row r="220" spans="2:81" ht="13.2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</row>
    <row r="221" spans="2:81" ht="13.2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</row>
    <row r="222" spans="2:81" ht="13.2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</row>
    <row r="223" spans="2:81" ht="13.2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</row>
    <row r="224" spans="2:81" ht="13.2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</row>
    <row r="225" spans="2:81" ht="13.2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</row>
    <row r="226" spans="2:81" ht="13.2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</row>
    <row r="227" spans="2:81" ht="13.2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</row>
    <row r="228" spans="2:81" ht="13.2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</row>
    <row r="229" spans="2:81" ht="13.2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</row>
    <row r="230" spans="2:81" ht="13.2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</row>
    <row r="231" spans="2:81" ht="13.2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</row>
    <row r="232" spans="2:81" ht="13.2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</row>
    <row r="233" spans="2:81" ht="13.2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</row>
    <row r="234" spans="2:81" ht="13.2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</row>
    <row r="235" spans="2:81" ht="13.2" x14ac:dyDescent="0.2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</row>
    <row r="236" spans="2:81" ht="13.2" x14ac:dyDescent="0.2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</row>
    <row r="237" spans="2:81" ht="13.2" x14ac:dyDescent="0.2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</row>
    <row r="238" spans="2:81" ht="13.2" x14ac:dyDescent="0.2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</row>
    <row r="239" spans="2:81" ht="13.2" x14ac:dyDescent="0.2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</row>
    <row r="240" spans="2:81" ht="13.2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</row>
    <row r="241" spans="2:81" ht="13.2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</row>
    <row r="242" spans="2:81" ht="13.2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</row>
    <row r="243" spans="2:81" ht="13.2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</row>
    <row r="244" spans="2:81" ht="13.2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</row>
    <row r="245" spans="2:81" ht="13.2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</row>
    <row r="246" spans="2:81" ht="13.2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</row>
    <row r="247" spans="2:81" ht="13.2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</row>
    <row r="248" spans="2:81" ht="13.2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</row>
    <row r="249" spans="2:81" ht="13.2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</row>
    <row r="250" spans="2:81" ht="13.2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</row>
    <row r="251" spans="2:81" ht="13.2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</row>
    <row r="252" spans="2:81" ht="13.2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</row>
    <row r="253" spans="2:81" ht="13.2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</row>
    <row r="254" spans="2:81" ht="13.2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</row>
    <row r="255" spans="2:81" ht="13.2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</row>
    <row r="256" spans="2:81" ht="13.2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</row>
    <row r="257" spans="2:81" ht="13.2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</row>
    <row r="258" spans="2:81" ht="13.2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</row>
    <row r="259" spans="2:81" ht="13.2" x14ac:dyDescent="0.2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</row>
    <row r="260" spans="2:81" ht="13.2" x14ac:dyDescent="0.2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</row>
    <row r="261" spans="2:81" ht="13.2" x14ac:dyDescent="0.2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</row>
    <row r="262" spans="2:81" ht="13.2" x14ac:dyDescent="0.2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</row>
    <row r="263" spans="2:81" ht="13.2" x14ac:dyDescent="0.2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</row>
    <row r="264" spans="2:81" ht="13.2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</row>
    <row r="265" spans="2:81" ht="13.2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</row>
    <row r="266" spans="2:81" ht="13.2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</row>
    <row r="267" spans="2:81" ht="13.2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</row>
    <row r="268" spans="2:81" ht="13.2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</row>
    <row r="269" spans="2:81" ht="13.2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</row>
    <row r="270" spans="2:81" ht="13.2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</row>
    <row r="271" spans="2:81" ht="13.2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</row>
    <row r="272" spans="2:81" ht="13.2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</row>
    <row r="273" spans="2:81" ht="13.2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</row>
    <row r="274" spans="2:81" ht="13.2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</row>
    <row r="275" spans="2:81" ht="13.2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</row>
    <row r="276" spans="2:81" ht="13.2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</row>
    <row r="277" spans="2:81" ht="13.2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</row>
    <row r="278" spans="2:81" ht="13.2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</row>
    <row r="279" spans="2:81" ht="13.2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</row>
    <row r="280" spans="2:81" ht="13.2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</row>
    <row r="281" spans="2:81" ht="13.2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</row>
    <row r="282" spans="2:81" ht="13.2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</row>
    <row r="283" spans="2:81" ht="13.2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</row>
    <row r="284" spans="2:81" ht="13.2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</row>
    <row r="285" spans="2:81" ht="13.2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</row>
    <row r="286" spans="2:81" ht="13.2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</row>
    <row r="287" spans="2:81" ht="13.2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</row>
    <row r="288" spans="2:81" ht="13.2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</row>
    <row r="289" spans="2:81" ht="13.2" x14ac:dyDescent="0.2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</row>
    <row r="290" spans="2:81" ht="13.2" x14ac:dyDescent="0.2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</row>
    <row r="291" spans="2:81" ht="13.2" x14ac:dyDescent="0.2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</row>
    <row r="292" spans="2:81" ht="13.2" x14ac:dyDescent="0.2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</row>
    <row r="293" spans="2:81" ht="13.2" x14ac:dyDescent="0.2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</row>
    <row r="294" spans="2:81" ht="13.2" x14ac:dyDescent="0.2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</row>
    <row r="295" spans="2:81" ht="13.2" x14ac:dyDescent="0.2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</row>
    <row r="296" spans="2:81" ht="13.2" x14ac:dyDescent="0.2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</row>
    <row r="297" spans="2:81" ht="13.2" x14ac:dyDescent="0.2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</row>
    <row r="298" spans="2:81" ht="13.2" x14ac:dyDescent="0.2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</row>
    <row r="299" spans="2:81" ht="13.2" x14ac:dyDescent="0.2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</row>
    <row r="300" spans="2:81" ht="13.2" x14ac:dyDescent="0.2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</row>
    <row r="301" spans="2:81" ht="13.2" x14ac:dyDescent="0.2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</row>
    <row r="302" spans="2:81" ht="13.2" x14ac:dyDescent="0.2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</row>
    <row r="303" spans="2:81" ht="13.2" x14ac:dyDescent="0.2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</row>
    <row r="304" spans="2:81" ht="13.2" x14ac:dyDescent="0.2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</row>
    <row r="305" spans="2:81" ht="13.2" x14ac:dyDescent="0.2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</row>
    <row r="306" spans="2:81" ht="13.2" x14ac:dyDescent="0.2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</row>
    <row r="307" spans="2:81" ht="13.2" x14ac:dyDescent="0.2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</row>
    <row r="308" spans="2:81" ht="13.2" x14ac:dyDescent="0.2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</row>
    <row r="309" spans="2:81" ht="13.2" x14ac:dyDescent="0.2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</row>
    <row r="310" spans="2:81" ht="13.2" x14ac:dyDescent="0.2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</row>
    <row r="311" spans="2:81" ht="13.2" x14ac:dyDescent="0.2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</row>
    <row r="312" spans="2:81" ht="13.2" x14ac:dyDescent="0.2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</row>
    <row r="313" spans="2:81" ht="13.2" x14ac:dyDescent="0.2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</row>
    <row r="314" spans="2:81" ht="13.2" x14ac:dyDescent="0.2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</row>
    <row r="315" spans="2:81" ht="13.2" x14ac:dyDescent="0.2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</row>
    <row r="316" spans="2:81" ht="13.2" x14ac:dyDescent="0.2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</row>
    <row r="317" spans="2:81" ht="13.2" x14ac:dyDescent="0.2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</row>
    <row r="318" spans="2:81" ht="13.2" x14ac:dyDescent="0.2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</row>
    <row r="319" spans="2:81" ht="13.2" x14ac:dyDescent="0.2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</row>
    <row r="320" spans="2:81" ht="13.2" x14ac:dyDescent="0.2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</row>
    <row r="321" spans="2:81" ht="13.2" x14ac:dyDescent="0.2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</row>
    <row r="322" spans="2:81" ht="13.2" x14ac:dyDescent="0.2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</row>
    <row r="323" spans="2:81" ht="13.2" x14ac:dyDescent="0.2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</row>
    <row r="324" spans="2:81" ht="13.2" x14ac:dyDescent="0.2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</row>
    <row r="325" spans="2:81" ht="13.2" x14ac:dyDescent="0.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</row>
    <row r="326" spans="2:81" ht="13.2" x14ac:dyDescent="0.2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</row>
    <row r="327" spans="2:81" ht="13.2" x14ac:dyDescent="0.2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</row>
    <row r="328" spans="2:81" ht="13.2" x14ac:dyDescent="0.2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</row>
    <row r="329" spans="2:81" ht="13.2" x14ac:dyDescent="0.2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</row>
    <row r="330" spans="2:81" ht="13.2" x14ac:dyDescent="0.2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</row>
    <row r="331" spans="2:81" ht="13.2" x14ac:dyDescent="0.2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</row>
    <row r="332" spans="2:81" ht="13.2" x14ac:dyDescent="0.2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</row>
    <row r="333" spans="2:81" ht="13.2" x14ac:dyDescent="0.2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</row>
    <row r="334" spans="2:81" ht="13.2" x14ac:dyDescent="0.2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</row>
    <row r="335" spans="2:81" ht="13.2" x14ac:dyDescent="0.2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</row>
    <row r="336" spans="2:81" ht="13.2" x14ac:dyDescent="0.2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</row>
    <row r="337" spans="2:81" ht="13.2" x14ac:dyDescent="0.2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</row>
    <row r="338" spans="2:81" ht="13.2" x14ac:dyDescent="0.2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</row>
    <row r="339" spans="2:81" ht="13.2" x14ac:dyDescent="0.2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</row>
    <row r="340" spans="2:81" ht="13.2" x14ac:dyDescent="0.2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</row>
    <row r="341" spans="2:81" ht="13.2" x14ac:dyDescent="0.2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</row>
    <row r="342" spans="2:81" ht="13.2" x14ac:dyDescent="0.2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</row>
    <row r="343" spans="2:81" ht="13.2" x14ac:dyDescent="0.2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</row>
    <row r="344" spans="2:81" ht="13.2" x14ac:dyDescent="0.2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</row>
    <row r="345" spans="2:81" ht="13.2" x14ac:dyDescent="0.2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</row>
    <row r="346" spans="2:81" ht="13.2" x14ac:dyDescent="0.2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</row>
    <row r="347" spans="2:81" ht="13.2" x14ac:dyDescent="0.2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</row>
    <row r="348" spans="2:81" ht="13.2" x14ac:dyDescent="0.2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</row>
    <row r="349" spans="2:81" ht="13.2" x14ac:dyDescent="0.2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</row>
    <row r="350" spans="2:81" ht="13.2" x14ac:dyDescent="0.2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</row>
    <row r="351" spans="2:81" ht="13.2" x14ac:dyDescent="0.2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</row>
    <row r="352" spans="2:81" ht="13.2" x14ac:dyDescent="0.2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</row>
    <row r="353" spans="2:81" ht="13.2" x14ac:dyDescent="0.2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</row>
    <row r="354" spans="2:81" ht="13.2" x14ac:dyDescent="0.2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</row>
    <row r="355" spans="2:81" ht="13.2" x14ac:dyDescent="0.2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</row>
    <row r="356" spans="2:81" ht="13.2" x14ac:dyDescent="0.2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</row>
    <row r="357" spans="2:81" ht="13.2" x14ac:dyDescent="0.2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</row>
    <row r="358" spans="2:81" ht="13.2" x14ac:dyDescent="0.2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</row>
    <row r="359" spans="2:81" ht="13.2" x14ac:dyDescent="0.2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</row>
    <row r="360" spans="2:81" ht="13.2" x14ac:dyDescent="0.2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</row>
    <row r="361" spans="2:81" ht="13.2" x14ac:dyDescent="0.2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</row>
    <row r="362" spans="2:81" ht="13.2" x14ac:dyDescent="0.2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</row>
    <row r="363" spans="2:81" ht="13.2" x14ac:dyDescent="0.2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</row>
    <row r="364" spans="2:81" ht="13.2" x14ac:dyDescent="0.2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</row>
    <row r="365" spans="2:81" ht="13.2" x14ac:dyDescent="0.2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</row>
    <row r="366" spans="2:81" ht="13.2" x14ac:dyDescent="0.2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</row>
    <row r="367" spans="2:81" ht="13.2" x14ac:dyDescent="0.2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</row>
    <row r="368" spans="2:81" ht="13.2" x14ac:dyDescent="0.2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</row>
    <row r="369" spans="2:81" ht="13.2" x14ac:dyDescent="0.2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</row>
    <row r="370" spans="2:81" ht="13.2" x14ac:dyDescent="0.2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</row>
    <row r="371" spans="2:81" ht="13.2" x14ac:dyDescent="0.2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</row>
    <row r="372" spans="2:81" ht="13.2" x14ac:dyDescent="0.2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</row>
    <row r="373" spans="2:81" ht="13.2" x14ac:dyDescent="0.2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</row>
    <row r="374" spans="2:81" ht="13.2" x14ac:dyDescent="0.2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</row>
    <row r="375" spans="2:81" ht="13.2" x14ac:dyDescent="0.2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</row>
    <row r="376" spans="2:81" ht="13.2" x14ac:dyDescent="0.2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</row>
    <row r="377" spans="2:81" ht="13.2" x14ac:dyDescent="0.2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</row>
    <row r="378" spans="2:81" ht="13.2" x14ac:dyDescent="0.2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</row>
    <row r="379" spans="2:81" ht="13.2" x14ac:dyDescent="0.2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</row>
    <row r="380" spans="2:81" ht="13.2" x14ac:dyDescent="0.2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</row>
    <row r="381" spans="2:81" ht="13.2" x14ac:dyDescent="0.2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</row>
    <row r="382" spans="2:81" ht="13.2" x14ac:dyDescent="0.2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</row>
    <row r="383" spans="2:81" ht="13.2" x14ac:dyDescent="0.2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</row>
    <row r="384" spans="2:81" ht="13.2" x14ac:dyDescent="0.2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</row>
    <row r="385" spans="2:81" ht="13.2" x14ac:dyDescent="0.2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</row>
    <row r="386" spans="2:81" ht="13.2" x14ac:dyDescent="0.2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</row>
    <row r="387" spans="2:81" ht="13.2" x14ac:dyDescent="0.2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</row>
    <row r="388" spans="2:81" ht="13.2" x14ac:dyDescent="0.2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</row>
    <row r="389" spans="2:81" ht="13.2" x14ac:dyDescent="0.2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</row>
    <row r="390" spans="2:81" ht="13.2" x14ac:dyDescent="0.2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</row>
    <row r="391" spans="2:81" ht="13.2" x14ac:dyDescent="0.2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</row>
    <row r="392" spans="2:81" ht="13.2" x14ac:dyDescent="0.2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</row>
    <row r="393" spans="2:81" ht="13.2" x14ac:dyDescent="0.2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</row>
    <row r="394" spans="2:81" ht="13.2" x14ac:dyDescent="0.2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</row>
    <row r="395" spans="2:81" ht="13.2" x14ac:dyDescent="0.2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</row>
    <row r="396" spans="2:81" ht="13.2" x14ac:dyDescent="0.2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</row>
    <row r="397" spans="2:81" ht="13.2" x14ac:dyDescent="0.2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</row>
    <row r="398" spans="2:81" ht="13.2" x14ac:dyDescent="0.2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</row>
    <row r="399" spans="2:81" ht="13.2" x14ac:dyDescent="0.2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</row>
    <row r="400" spans="2:81" ht="13.2" x14ac:dyDescent="0.2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</row>
    <row r="401" spans="2:81" ht="13.2" x14ac:dyDescent="0.2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</row>
    <row r="402" spans="2:81" ht="13.2" x14ac:dyDescent="0.2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</row>
    <row r="403" spans="2:81" ht="13.2" x14ac:dyDescent="0.2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</row>
    <row r="404" spans="2:81" ht="13.2" x14ac:dyDescent="0.2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</row>
    <row r="405" spans="2:81" ht="13.2" x14ac:dyDescent="0.2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</row>
    <row r="406" spans="2:81" ht="13.2" x14ac:dyDescent="0.2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</row>
    <row r="407" spans="2:81" ht="13.2" x14ac:dyDescent="0.2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</row>
    <row r="408" spans="2:81" ht="13.2" x14ac:dyDescent="0.2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</row>
    <row r="409" spans="2:81" ht="13.2" x14ac:dyDescent="0.2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</row>
    <row r="410" spans="2:81" ht="13.2" x14ac:dyDescent="0.2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</row>
    <row r="411" spans="2:81" ht="13.2" x14ac:dyDescent="0.2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</row>
    <row r="412" spans="2:81" ht="13.2" x14ac:dyDescent="0.2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</row>
    <row r="413" spans="2:81" ht="13.2" x14ac:dyDescent="0.2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</row>
    <row r="414" spans="2:81" ht="13.2" x14ac:dyDescent="0.2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</row>
    <row r="415" spans="2:81" ht="13.2" x14ac:dyDescent="0.2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</row>
    <row r="416" spans="2:81" ht="13.2" x14ac:dyDescent="0.2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</row>
    <row r="417" spans="2:81" ht="13.2" x14ac:dyDescent="0.2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</row>
    <row r="418" spans="2:81" ht="13.2" x14ac:dyDescent="0.2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</row>
    <row r="419" spans="2:81" ht="13.2" x14ac:dyDescent="0.2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</row>
    <row r="420" spans="2:81" ht="13.2" x14ac:dyDescent="0.2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</row>
    <row r="421" spans="2:81" ht="13.2" x14ac:dyDescent="0.2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</row>
    <row r="422" spans="2:81" ht="13.2" x14ac:dyDescent="0.2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</row>
    <row r="423" spans="2:81" ht="13.2" x14ac:dyDescent="0.2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</row>
    <row r="424" spans="2:81" ht="13.2" x14ac:dyDescent="0.2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</row>
    <row r="425" spans="2:81" ht="13.2" x14ac:dyDescent="0.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</row>
    <row r="426" spans="2:81" ht="13.2" x14ac:dyDescent="0.2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</row>
    <row r="427" spans="2:81" ht="13.2" x14ac:dyDescent="0.2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</row>
    <row r="428" spans="2:81" ht="13.2" x14ac:dyDescent="0.2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</row>
    <row r="429" spans="2:81" ht="13.2" x14ac:dyDescent="0.2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</row>
    <row r="430" spans="2:81" ht="13.2" x14ac:dyDescent="0.2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</row>
    <row r="431" spans="2:81" ht="13.2" x14ac:dyDescent="0.2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</row>
    <row r="432" spans="2:81" ht="13.2" x14ac:dyDescent="0.2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</row>
    <row r="433" spans="2:81" ht="13.2" x14ac:dyDescent="0.2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</row>
    <row r="434" spans="2:81" ht="13.2" x14ac:dyDescent="0.2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</row>
    <row r="435" spans="2:81" ht="13.2" x14ac:dyDescent="0.2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</row>
    <row r="436" spans="2:81" ht="13.2" x14ac:dyDescent="0.2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</row>
    <row r="437" spans="2:81" ht="13.2" x14ac:dyDescent="0.2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</row>
    <row r="438" spans="2:81" ht="13.2" x14ac:dyDescent="0.2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</row>
    <row r="439" spans="2:81" ht="13.2" x14ac:dyDescent="0.2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</row>
    <row r="440" spans="2:81" ht="13.2" x14ac:dyDescent="0.2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</row>
    <row r="441" spans="2:81" ht="13.2" x14ac:dyDescent="0.2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</row>
    <row r="442" spans="2:81" ht="13.2" x14ac:dyDescent="0.2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</row>
    <row r="443" spans="2:81" ht="13.2" x14ac:dyDescent="0.2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</row>
    <row r="444" spans="2:81" ht="13.2" x14ac:dyDescent="0.2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</row>
    <row r="445" spans="2:81" ht="13.2" x14ac:dyDescent="0.2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</row>
    <row r="446" spans="2:81" ht="13.2" x14ac:dyDescent="0.2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</row>
    <row r="447" spans="2:81" ht="13.2" x14ac:dyDescent="0.2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</row>
    <row r="448" spans="2:81" ht="13.2" x14ac:dyDescent="0.2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</row>
    <row r="449" spans="2:81" ht="13.2" x14ac:dyDescent="0.2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</row>
    <row r="450" spans="2:81" ht="13.2" x14ac:dyDescent="0.2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</row>
    <row r="451" spans="2:81" ht="13.2" x14ac:dyDescent="0.2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</row>
    <row r="452" spans="2:81" ht="13.2" x14ac:dyDescent="0.2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</row>
    <row r="453" spans="2:81" ht="13.2" x14ac:dyDescent="0.2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</row>
    <row r="454" spans="2:81" ht="13.2" x14ac:dyDescent="0.2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</row>
    <row r="455" spans="2:81" ht="13.2" x14ac:dyDescent="0.2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</row>
    <row r="456" spans="2:81" ht="13.2" x14ac:dyDescent="0.2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</row>
    <row r="457" spans="2:81" ht="13.2" x14ac:dyDescent="0.2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</row>
    <row r="458" spans="2:81" ht="13.2" x14ac:dyDescent="0.2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</row>
    <row r="459" spans="2:81" ht="13.2" x14ac:dyDescent="0.2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</row>
    <row r="460" spans="2:81" ht="13.2" x14ac:dyDescent="0.2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</row>
    <row r="461" spans="2:81" ht="13.2" x14ac:dyDescent="0.2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</row>
    <row r="462" spans="2:81" ht="13.2" x14ac:dyDescent="0.2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</row>
    <row r="463" spans="2:81" ht="13.2" x14ac:dyDescent="0.2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</row>
    <row r="464" spans="2:81" ht="13.2" x14ac:dyDescent="0.2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</row>
    <row r="465" spans="2:81" ht="13.2" x14ac:dyDescent="0.2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</row>
    <row r="466" spans="2:81" ht="13.2" x14ac:dyDescent="0.2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</row>
    <row r="467" spans="2:81" ht="13.2" x14ac:dyDescent="0.2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</row>
    <row r="468" spans="2:81" ht="13.2" x14ac:dyDescent="0.2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</row>
    <row r="469" spans="2:81" ht="13.2" x14ac:dyDescent="0.2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</row>
    <row r="470" spans="2:81" ht="13.2" x14ac:dyDescent="0.2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</row>
    <row r="471" spans="2:81" ht="13.2" x14ac:dyDescent="0.2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</row>
    <row r="472" spans="2:81" ht="13.2" x14ac:dyDescent="0.2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</row>
    <row r="473" spans="2:81" ht="13.2" x14ac:dyDescent="0.2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</row>
    <row r="474" spans="2:81" ht="13.2" x14ac:dyDescent="0.2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</row>
    <row r="475" spans="2:81" ht="13.2" x14ac:dyDescent="0.2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</row>
    <row r="476" spans="2:81" ht="13.2" x14ac:dyDescent="0.2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</row>
    <row r="477" spans="2:81" ht="13.2" x14ac:dyDescent="0.2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</row>
    <row r="478" spans="2:81" ht="13.2" x14ac:dyDescent="0.2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</row>
    <row r="479" spans="2:81" ht="13.2" x14ac:dyDescent="0.2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</row>
    <row r="480" spans="2:81" ht="13.2" x14ac:dyDescent="0.2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</row>
    <row r="481" spans="2:81" ht="13.2" x14ac:dyDescent="0.2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</row>
    <row r="482" spans="2:81" ht="13.2" x14ac:dyDescent="0.2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</row>
    <row r="483" spans="2:81" ht="13.2" x14ac:dyDescent="0.2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</row>
    <row r="484" spans="2:81" ht="13.2" x14ac:dyDescent="0.2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</row>
    <row r="485" spans="2:81" ht="13.2" x14ac:dyDescent="0.2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</row>
    <row r="486" spans="2:81" ht="13.2" x14ac:dyDescent="0.2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</row>
    <row r="487" spans="2:81" ht="13.2" x14ac:dyDescent="0.2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</row>
    <row r="488" spans="2:81" ht="13.2" x14ac:dyDescent="0.2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</row>
    <row r="489" spans="2:81" ht="13.2" x14ac:dyDescent="0.2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</row>
    <row r="490" spans="2:81" ht="13.2" x14ac:dyDescent="0.2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</row>
    <row r="491" spans="2:81" ht="13.2" x14ac:dyDescent="0.2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</row>
    <row r="492" spans="2:81" ht="13.2" x14ac:dyDescent="0.2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</row>
    <row r="493" spans="2:81" ht="13.2" x14ac:dyDescent="0.2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</row>
    <row r="494" spans="2:81" ht="13.2" x14ac:dyDescent="0.2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</row>
    <row r="495" spans="2:81" ht="13.2" x14ac:dyDescent="0.2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</row>
    <row r="496" spans="2:81" ht="13.2" x14ac:dyDescent="0.2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</row>
    <row r="497" spans="2:81" ht="13.2" x14ac:dyDescent="0.2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</row>
    <row r="498" spans="2:81" ht="13.2" x14ac:dyDescent="0.2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</row>
    <row r="499" spans="2:81" ht="13.2" x14ac:dyDescent="0.2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</row>
    <row r="500" spans="2:81" ht="13.2" x14ac:dyDescent="0.2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</row>
    <row r="501" spans="2:81" ht="13.2" x14ac:dyDescent="0.2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</row>
    <row r="502" spans="2:81" ht="13.2" x14ac:dyDescent="0.2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</row>
    <row r="503" spans="2:81" ht="13.2" x14ac:dyDescent="0.2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</row>
    <row r="504" spans="2:81" ht="13.2" x14ac:dyDescent="0.2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</row>
    <row r="505" spans="2:81" ht="13.2" x14ac:dyDescent="0.2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</row>
    <row r="506" spans="2:81" ht="13.2" x14ac:dyDescent="0.2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</row>
    <row r="507" spans="2:81" ht="13.2" x14ac:dyDescent="0.2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</row>
    <row r="508" spans="2:81" ht="13.2" x14ac:dyDescent="0.2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</row>
    <row r="509" spans="2:81" ht="13.2" x14ac:dyDescent="0.2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</row>
    <row r="510" spans="2:81" ht="13.2" x14ac:dyDescent="0.2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</row>
    <row r="511" spans="2:81" ht="13.2" x14ac:dyDescent="0.2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</row>
    <row r="512" spans="2:81" ht="13.2" x14ac:dyDescent="0.2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</row>
    <row r="513" spans="2:81" ht="13.2" x14ac:dyDescent="0.2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</row>
    <row r="514" spans="2:81" ht="13.2" x14ac:dyDescent="0.2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</row>
    <row r="515" spans="2:81" ht="13.2" x14ac:dyDescent="0.2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</row>
    <row r="516" spans="2:81" ht="13.2" x14ac:dyDescent="0.2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</row>
    <row r="517" spans="2:81" ht="13.2" x14ac:dyDescent="0.2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</row>
    <row r="518" spans="2:81" ht="13.2" x14ac:dyDescent="0.2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</row>
    <row r="519" spans="2:81" ht="13.2" x14ac:dyDescent="0.2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</row>
    <row r="520" spans="2:81" ht="13.2" x14ac:dyDescent="0.2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</row>
    <row r="521" spans="2:81" ht="13.2" x14ac:dyDescent="0.2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</row>
    <row r="522" spans="2:81" ht="13.2" x14ac:dyDescent="0.2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</row>
    <row r="523" spans="2:81" ht="13.2" x14ac:dyDescent="0.2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</row>
    <row r="524" spans="2:81" ht="13.2" x14ac:dyDescent="0.2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</row>
    <row r="525" spans="2:81" ht="13.2" x14ac:dyDescent="0.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</row>
    <row r="526" spans="2:81" ht="13.2" x14ac:dyDescent="0.2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</row>
    <row r="527" spans="2:81" ht="13.2" x14ac:dyDescent="0.2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</row>
    <row r="528" spans="2:81" ht="13.2" x14ac:dyDescent="0.2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</row>
    <row r="529" spans="2:81" ht="13.2" x14ac:dyDescent="0.2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</row>
    <row r="530" spans="2:81" ht="13.2" x14ac:dyDescent="0.2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</row>
    <row r="531" spans="2:81" ht="13.2" x14ac:dyDescent="0.2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</row>
    <row r="532" spans="2:81" ht="13.2" x14ac:dyDescent="0.2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</row>
    <row r="533" spans="2:81" ht="13.2" x14ac:dyDescent="0.2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</row>
    <row r="534" spans="2:81" ht="13.2" x14ac:dyDescent="0.2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</row>
    <row r="535" spans="2:81" ht="13.2" x14ac:dyDescent="0.2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</row>
    <row r="536" spans="2:81" ht="13.2" x14ac:dyDescent="0.2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</row>
    <row r="537" spans="2:81" ht="13.2" x14ac:dyDescent="0.2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</row>
    <row r="538" spans="2:81" ht="13.2" x14ac:dyDescent="0.2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</row>
    <row r="539" spans="2:81" ht="13.2" x14ac:dyDescent="0.2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</row>
    <row r="540" spans="2:81" ht="13.2" x14ac:dyDescent="0.2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</row>
    <row r="541" spans="2:81" ht="13.2" x14ac:dyDescent="0.2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</row>
    <row r="542" spans="2:81" ht="13.2" x14ac:dyDescent="0.2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</row>
    <row r="543" spans="2:81" ht="13.2" x14ac:dyDescent="0.2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</row>
    <row r="544" spans="2:81" ht="13.2" x14ac:dyDescent="0.2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</row>
    <row r="545" spans="2:81" ht="13.2" x14ac:dyDescent="0.2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</row>
    <row r="546" spans="2:81" ht="13.2" x14ac:dyDescent="0.2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</row>
    <row r="547" spans="2:81" ht="13.2" x14ac:dyDescent="0.2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</row>
    <row r="548" spans="2:81" ht="13.2" x14ac:dyDescent="0.2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</row>
    <row r="549" spans="2:81" ht="13.2" x14ac:dyDescent="0.2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</row>
    <row r="550" spans="2:81" ht="13.2" x14ac:dyDescent="0.2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</row>
    <row r="551" spans="2:81" ht="13.2" x14ac:dyDescent="0.2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</row>
    <row r="552" spans="2:81" ht="13.2" x14ac:dyDescent="0.2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</row>
    <row r="553" spans="2:81" ht="13.2" x14ac:dyDescent="0.2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</row>
    <row r="554" spans="2:81" ht="13.2" x14ac:dyDescent="0.2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</row>
    <row r="555" spans="2:81" ht="13.2" x14ac:dyDescent="0.2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</row>
    <row r="556" spans="2:81" ht="13.2" x14ac:dyDescent="0.2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</row>
    <row r="557" spans="2:81" ht="13.2" x14ac:dyDescent="0.2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</row>
    <row r="558" spans="2:81" ht="13.2" x14ac:dyDescent="0.2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</row>
    <row r="559" spans="2:81" ht="13.2" x14ac:dyDescent="0.2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</row>
    <row r="560" spans="2:81" ht="13.2" x14ac:dyDescent="0.2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</row>
    <row r="561" spans="2:81" ht="13.2" x14ac:dyDescent="0.2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</row>
    <row r="562" spans="2:81" ht="13.2" x14ac:dyDescent="0.2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</row>
    <row r="563" spans="2:81" ht="13.2" x14ac:dyDescent="0.2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</row>
    <row r="564" spans="2:81" ht="13.2" x14ac:dyDescent="0.2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</row>
    <row r="565" spans="2:81" ht="13.2" x14ac:dyDescent="0.2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</row>
    <row r="566" spans="2:81" ht="13.2" x14ac:dyDescent="0.2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</row>
    <row r="567" spans="2:81" ht="13.2" x14ac:dyDescent="0.2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</row>
    <row r="568" spans="2:81" ht="13.2" x14ac:dyDescent="0.2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</row>
    <row r="569" spans="2:81" ht="13.2" x14ac:dyDescent="0.2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</row>
    <row r="570" spans="2:81" ht="13.2" x14ac:dyDescent="0.2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</row>
    <row r="571" spans="2:81" ht="13.2" x14ac:dyDescent="0.2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</row>
    <row r="572" spans="2:81" ht="13.2" x14ac:dyDescent="0.2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</row>
    <row r="573" spans="2:81" ht="13.2" x14ac:dyDescent="0.2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</row>
    <row r="574" spans="2:81" ht="13.2" x14ac:dyDescent="0.2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</row>
    <row r="575" spans="2:81" ht="13.2" x14ac:dyDescent="0.2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</row>
    <row r="576" spans="2:81" ht="13.2" x14ac:dyDescent="0.2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</row>
    <row r="577" spans="2:81" ht="13.2" x14ac:dyDescent="0.2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</row>
    <row r="578" spans="2:81" ht="13.2" x14ac:dyDescent="0.2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</row>
    <row r="579" spans="2:81" ht="13.2" x14ac:dyDescent="0.2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</row>
    <row r="580" spans="2:81" ht="13.2" x14ac:dyDescent="0.2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</row>
    <row r="581" spans="2:81" ht="13.2" x14ac:dyDescent="0.2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</row>
    <row r="582" spans="2:81" ht="13.2" x14ac:dyDescent="0.2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</row>
    <row r="583" spans="2:81" ht="13.2" x14ac:dyDescent="0.2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</row>
    <row r="584" spans="2:81" ht="13.2" x14ac:dyDescent="0.2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</row>
    <row r="585" spans="2:81" ht="13.2" x14ac:dyDescent="0.2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</row>
    <row r="586" spans="2:81" ht="13.2" x14ac:dyDescent="0.2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</row>
    <row r="587" spans="2:81" ht="13.2" x14ac:dyDescent="0.2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</row>
    <row r="588" spans="2:81" ht="13.2" x14ac:dyDescent="0.2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</row>
    <row r="589" spans="2:81" ht="13.2" x14ac:dyDescent="0.2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</row>
    <row r="590" spans="2:81" ht="13.2" x14ac:dyDescent="0.2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</row>
    <row r="591" spans="2:81" ht="13.2" x14ac:dyDescent="0.2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</row>
    <row r="592" spans="2:81" ht="13.2" x14ac:dyDescent="0.2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</row>
    <row r="593" spans="2:81" ht="13.2" x14ac:dyDescent="0.2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</row>
    <row r="594" spans="2:81" ht="13.2" x14ac:dyDescent="0.2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</row>
    <row r="595" spans="2:81" ht="13.2" x14ac:dyDescent="0.2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</row>
    <row r="596" spans="2:81" ht="13.2" x14ac:dyDescent="0.2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</row>
    <row r="597" spans="2:81" ht="13.2" x14ac:dyDescent="0.2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</row>
    <row r="598" spans="2:81" ht="13.2" x14ac:dyDescent="0.2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</row>
    <row r="599" spans="2:81" ht="13.2" x14ac:dyDescent="0.2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</row>
    <row r="600" spans="2:81" ht="13.2" x14ac:dyDescent="0.2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</row>
    <row r="601" spans="2:81" ht="13.2" x14ac:dyDescent="0.2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</row>
    <row r="602" spans="2:81" ht="13.2" x14ac:dyDescent="0.2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</row>
    <row r="603" spans="2:81" ht="13.2" x14ac:dyDescent="0.2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</row>
    <row r="604" spans="2:81" ht="13.2" x14ac:dyDescent="0.2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</row>
    <row r="605" spans="2:81" ht="13.2" x14ac:dyDescent="0.2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</row>
    <row r="606" spans="2:81" ht="13.2" x14ac:dyDescent="0.2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</row>
    <row r="607" spans="2:81" ht="13.2" x14ac:dyDescent="0.2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</row>
    <row r="608" spans="2:81" ht="13.2" x14ac:dyDescent="0.2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</row>
    <row r="609" spans="2:81" ht="13.2" x14ac:dyDescent="0.2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</row>
    <row r="610" spans="2:81" ht="13.2" x14ac:dyDescent="0.2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</row>
    <row r="611" spans="2:81" ht="13.2" x14ac:dyDescent="0.2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</row>
    <row r="612" spans="2:81" ht="13.2" x14ac:dyDescent="0.2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</row>
    <row r="613" spans="2:81" ht="13.2" x14ac:dyDescent="0.2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</row>
    <row r="614" spans="2:81" ht="13.2" x14ac:dyDescent="0.2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</row>
    <row r="615" spans="2:81" ht="13.2" x14ac:dyDescent="0.2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</row>
    <row r="616" spans="2:81" ht="13.2" x14ac:dyDescent="0.2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</row>
    <row r="617" spans="2:81" ht="13.2" x14ac:dyDescent="0.2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</row>
    <row r="618" spans="2:81" ht="13.2" x14ac:dyDescent="0.2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</row>
    <row r="619" spans="2:81" ht="13.2" x14ac:dyDescent="0.2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</row>
    <row r="620" spans="2:81" ht="13.2" x14ac:dyDescent="0.2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</row>
    <row r="621" spans="2:81" ht="13.2" x14ac:dyDescent="0.2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</row>
    <row r="622" spans="2:81" ht="13.2" x14ac:dyDescent="0.2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</row>
    <row r="623" spans="2:81" ht="13.2" x14ac:dyDescent="0.2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</row>
    <row r="624" spans="2:81" ht="13.2" x14ac:dyDescent="0.2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</row>
    <row r="625" spans="2:81" ht="13.2" x14ac:dyDescent="0.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</row>
    <row r="626" spans="2:81" ht="13.2" x14ac:dyDescent="0.2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</row>
    <row r="627" spans="2:81" ht="13.2" x14ac:dyDescent="0.2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</row>
    <row r="628" spans="2:81" ht="13.2" x14ac:dyDescent="0.2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</row>
    <row r="629" spans="2:81" ht="13.2" x14ac:dyDescent="0.2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</row>
    <row r="630" spans="2:81" ht="13.2" x14ac:dyDescent="0.2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</row>
    <row r="631" spans="2:81" ht="13.2" x14ac:dyDescent="0.2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</row>
    <row r="632" spans="2:81" ht="13.2" x14ac:dyDescent="0.2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</row>
    <row r="633" spans="2:81" ht="13.2" x14ac:dyDescent="0.2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</row>
    <row r="634" spans="2:81" ht="13.2" x14ac:dyDescent="0.2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</row>
    <row r="635" spans="2:81" ht="13.2" x14ac:dyDescent="0.2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</row>
    <row r="636" spans="2:81" ht="13.2" x14ac:dyDescent="0.2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</row>
    <row r="637" spans="2:81" ht="13.2" x14ac:dyDescent="0.2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</row>
    <row r="638" spans="2:81" ht="13.2" x14ac:dyDescent="0.2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</row>
    <row r="639" spans="2:81" ht="13.2" x14ac:dyDescent="0.2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</row>
    <row r="640" spans="2:81" ht="13.2" x14ac:dyDescent="0.2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</row>
    <row r="641" spans="2:81" ht="13.2" x14ac:dyDescent="0.2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</row>
    <row r="642" spans="2:81" ht="13.2" x14ac:dyDescent="0.2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</row>
    <row r="643" spans="2:81" ht="13.2" x14ac:dyDescent="0.2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</row>
    <row r="644" spans="2:81" ht="13.2" x14ac:dyDescent="0.2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</row>
    <row r="645" spans="2:81" ht="13.2" x14ac:dyDescent="0.2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</row>
    <row r="646" spans="2:81" ht="13.2" x14ac:dyDescent="0.2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</row>
    <row r="647" spans="2:81" ht="13.2" x14ac:dyDescent="0.2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</row>
    <row r="648" spans="2:81" ht="13.2" x14ac:dyDescent="0.2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</row>
    <row r="649" spans="2:81" ht="13.2" x14ac:dyDescent="0.2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</row>
    <row r="650" spans="2:81" ht="13.2" x14ac:dyDescent="0.2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</row>
    <row r="651" spans="2:81" ht="13.2" x14ac:dyDescent="0.2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</row>
    <row r="652" spans="2:81" ht="13.2" x14ac:dyDescent="0.2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</row>
    <row r="653" spans="2:81" ht="13.2" x14ac:dyDescent="0.2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</row>
    <row r="654" spans="2:81" ht="13.2" x14ac:dyDescent="0.2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</row>
    <row r="655" spans="2:81" ht="13.2" x14ac:dyDescent="0.2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</row>
    <row r="656" spans="2:81" ht="13.2" x14ac:dyDescent="0.2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</row>
    <row r="657" spans="2:81" ht="13.2" x14ac:dyDescent="0.2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</row>
    <row r="658" spans="2:81" ht="13.2" x14ac:dyDescent="0.2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</row>
    <row r="659" spans="2:81" ht="13.2" x14ac:dyDescent="0.2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</row>
    <row r="660" spans="2:81" ht="13.2" x14ac:dyDescent="0.2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</row>
    <row r="661" spans="2:81" ht="13.2" x14ac:dyDescent="0.2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</row>
    <row r="662" spans="2:81" ht="13.2" x14ac:dyDescent="0.2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</row>
    <row r="663" spans="2:81" ht="13.2" x14ac:dyDescent="0.2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</row>
    <row r="664" spans="2:81" ht="13.2" x14ac:dyDescent="0.2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</row>
    <row r="665" spans="2:81" ht="13.2" x14ac:dyDescent="0.2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</row>
    <row r="666" spans="2:81" ht="13.2" x14ac:dyDescent="0.2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</row>
    <row r="667" spans="2:81" ht="13.2" x14ac:dyDescent="0.2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</row>
    <row r="668" spans="2:81" ht="13.2" x14ac:dyDescent="0.2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</row>
    <row r="669" spans="2:81" ht="13.2" x14ac:dyDescent="0.2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</row>
    <row r="670" spans="2:81" ht="13.2" x14ac:dyDescent="0.2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</row>
    <row r="671" spans="2:81" ht="13.2" x14ac:dyDescent="0.2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</row>
    <row r="672" spans="2:81" ht="13.2" x14ac:dyDescent="0.2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</row>
    <row r="673" spans="2:81" ht="13.2" x14ac:dyDescent="0.2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</row>
    <row r="674" spans="2:81" ht="13.2" x14ac:dyDescent="0.2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</row>
    <row r="675" spans="2:81" ht="13.2" x14ac:dyDescent="0.2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</row>
    <row r="676" spans="2:81" ht="13.2" x14ac:dyDescent="0.2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</row>
    <row r="677" spans="2:81" ht="13.2" x14ac:dyDescent="0.2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</row>
    <row r="678" spans="2:81" ht="13.2" x14ac:dyDescent="0.2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</row>
    <row r="679" spans="2:81" ht="13.2" x14ac:dyDescent="0.2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</row>
    <row r="680" spans="2:81" ht="13.2" x14ac:dyDescent="0.2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</row>
    <row r="681" spans="2:81" ht="13.2" x14ac:dyDescent="0.2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</row>
    <row r="682" spans="2:81" ht="13.2" x14ac:dyDescent="0.2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</row>
    <row r="683" spans="2:81" ht="13.2" x14ac:dyDescent="0.2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</row>
    <row r="684" spans="2:81" ht="13.2" x14ac:dyDescent="0.2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</row>
    <row r="685" spans="2:81" ht="13.2" x14ac:dyDescent="0.2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</row>
    <row r="686" spans="2:81" ht="13.2" x14ac:dyDescent="0.2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</row>
    <row r="687" spans="2:81" ht="13.2" x14ac:dyDescent="0.2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</row>
    <row r="688" spans="2:81" ht="13.2" x14ac:dyDescent="0.2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</row>
    <row r="689" spans="2:81" ht="13.2" x14ac:dyDescent="0.2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</row>
    <row r="690" spans="2:81" ht="13.2" x14ac:dyDescent="0.2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</row>
    <row r="691" spans="2:81" ht="13.2" x14ac:dyDescent="0.2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</row>
    <row r="692" spans="2:81" ht="13.2" x14ac:dyDescent="0.2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</row>
    <row r="693" spans="2:81" ht="13.2" x14ac:dyDescent="0.2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</row>
    <row r="694" spans="2:81" ht="13.2" x14ac:dyDescent="0.2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</row>
    <row r="695" spans="2:81" ht="13.2" x14ac:dyDescent="0.2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</row>
    <row r="696" spans="2:81" ht="13.2" x14ac:dyDescent="0.2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</row>
    <row r="697" spans="2:81" ht="13.2" x14ac:dyDescent="0.2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</row>
    <row r="698" spans="2:81" ht="13.2" x14ac:dyDescent="0.2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</row>
    <row r="699" spans="2:81" ht="13.2" x14ac:dyDescent="0.2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</row>
    <row r="700" spans="2:81" ht="13.2" x14ac:dyDescent="0.2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</row>
    <row r="701" spans="2:81" ht="13.2" x14ac:dyDescent="0.2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</row>
    <row r="702" spans="2:81" ht="13.2" x14ac:dyDescent="0.2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</row>
    <row r="703" spans="2:81" ht="13.2" x14ac:dyDescent="0.2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</row>
    <row r="704" spans="2:81" ht="13.2" x14ac:dyDescent="0.2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</row>
    <row r="705" spans="2:81" ht="13.2" x14ac:dyDescent="0.2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</row>
    <row r="706" spans="2:81" ht="13.2" x14ac:dyDescent="0.2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</row>
    <row r="707" spans="2:81" ht="13.2" x14ac:dyDescent="0.2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</row>
    <row r="708" spans="2:81" ht="13.2" x14ac:dyDescent="0.2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</row>
    <row r="709" spans="2:81" ht="13.2" x14ac:dyDescent="0.2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</row>
    <row r="710" spans="2:81" ht="13.2" x14ac:dyDescent="0.2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</row>
    <row r="711" spans="2:81" ht="13.2" x14ac:dyDescent="0.2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</row>
    <row r="712" spans="2:81" ht="13.2" x14ac:dyDescent="0.2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</row>
    <row r="713" spans="2:81" ht="13.2" x14ac:dyDescent="0.2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</row>
    <row r="714" spans="2:81" ht="13.2" x14ac:dyDescent="0.2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</row>
    <row r="715" spans="2:81" ht="13.2" x14ac:dyDescent="0.2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</row>
    <row r="716" spans="2:81" ht="13.2" x14ac:dyDescent="0.2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</row>
    <row r="717" spans="2:81" ht="13.2" x14ac:dyDescent="0.2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</row>
    <row r="718" spans="2:81" ht="13.2" x14ac:dyDescent="0.2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</row>
    <row r="719" spans="2:81" ht="13.2" x14ac:dyDescent="0.2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</row>
    <row r="720" spans="2:81" ht="13.2" x14ac:dyDescent="0.2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</row>
    <row r="721" spans="2:81" ht="13.2" x14ac:dyDescent="0.2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</row>
    <row r="722" spans="2:81" ht="13.2" x14ac:dyDescent="0.2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</row>
    <row r="723" spans="2:81" ht="13.2" x14ac:dyDescent="0.2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</row>
    <row r="724" spans="2:81" ht="13.2" x14ac:dyDescent="0.2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</row>
    <row r="725" spans="2:81" ht="13.2" x14ac:dyDescent="0.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</row>
    <row r="726" spans="2:81" ht="13.2" x14ac:dyDescent="0.2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</row>
    <row r="727" spans="2:81" ht="13.2" x14ac:dyDescent="0.2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</row>
    <row r="728" spans="2:81" ht="13.2" x14ac:dyDescent="0.2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</row>
    <row r="729" spans="2:81" ht="13.2" x14ac:dyDescent="0.2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</row>
    <row r="730" spans="2:81" ht="13.2" x14ac:dyDescent="0.2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</row>
    <row r="731" spans="2:81" ht="13.2" x14ac:dyDescent="0.2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</row>
    <row r="732" spans="2:81" ht="13.2" x14ac:dyDescent="0.2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</row>
    <row r="733" spans="2:81" ht="13.2" x14ac:dyDescent="0.2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</row>
    <row r="734" spans="2:81" ht="13.2" x14ac:dyDescent="0.2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</row>
    <row r="735" spans="2:81" ht="13.2" x14ac:dyDescent="0.2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</row>
    <row r="736" spans="2:81" ht="13.2" x14ac:dyDescent="0.2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</row>
    <row r="737" spans="2:81" ht="13.2" x14ac:dyDescent="0.2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</row>
    <row r="738" spans="2:81" ht="13.2" x14ac:dyDescent="0.2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</row>
    <row r="739" spans="2:81" ht="13.2" x14ac:dyDescent="0.2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</row>
    <row r="740" spans="2:81" ht="13.2" x14ac:dyDescent="0.2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</row>
    <row r="741" spans="2:81" ht="13.2" x14ac:dyDescent="0.2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</row>
    <row r="742" spans="2:81" ht="13.2" x14ac:dyDescent="0.2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</row>
    <row r="743" spans="2:81" ht="13.2" x14ac:dyDescent="0.2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</row>
    <row r="744" spans="2:81" ht="13.2" x14ac:dyDescent="0.2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</row>
    <row r="745" spans="2:81" ht="13.2" x14ac:dyDescent="0.2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</row>
    <row r="746" spans="2:81" ht="13.2" x14ac:dyDescent="0.2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</row>
    <row r="747" spans="2:81" ht="13.2" x14ac:dyDescent="0.2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</row>
    <row r="748" spans="2:81" ht="13.2" x14ac:dyDescent="0.2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</row>
    <row r="749" spans="2:81" ht="13.2" x14ac:dyDescent="0.2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</row>
    <row r="750" spans="2:81" ht="13.2" x14ac:dyDescent="0.2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</row>
    <row r="751" spans="2:81" ht="13.2" x14ac:dyDescent="0.2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</row>
    <row r="752" spans="2:81" ht="13.2" x14ac:dyDescent="0.2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</row>
    <row r="753" spans="2:81" ht="13.2" x14ac:dyDescent="0.2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</row>
    <row r="754" spans="2:81" ht="13.2" x14ac:dyDescent="0.2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</row>
    <row r="755" spans="2:81" ht="13.2" x14ac:dyDescent="0.2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</row>
    <row r="756" spans="2:81" ht="13.2" x14ac:dyDescent="0.2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</row>
    <row r="757" spans="2:81" ht="13.2" x14ac:dyDescent="0.2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</row>
    <row r="758" spans="2:81" ht="13.2" x14ac:dyDescent="0.2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</row>
    <row r="759" spans="2:81" ht="13.2" x14ac:dyDescent="0.2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</row>
    <row r="760" spans="2:81" ht="13.2" x14ac:dyDescent="0.2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</row>
    <row r="761" spans="2:81" ht="13.2" x14ac:dyDescent="0.2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</row>
    <row r="762" spans="2:81" ht="13.2" x14ac:dyDescent="0.2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</row>
    <row r="763" spans="2:81" ht="13.2" x14ac:dyDescent="0.2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</row>
    <row r="764" spans="2:81" ht="13.2" x14ac:dyDescent="0.2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</row>
    <row r="765" spans="2:81" ht="13.2" x14ac:dyDescent="0.2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</row>
    <row r="766" spans="2:81" ht="13.2" x14ac:dyDescent="0.2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</row>
    <row r="767" spans="2:81" ht="13.2" x14ac:dyDescent="0.2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</row>
    <row r="768" spans="2:81" ht="13.2" x14ac:dyDescent="0.2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</row>
    <row r="769" spans="2:81" ht="13.2" x14ac:dyDescent="0.2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</row>
    <row r="770" spans="2:81" ht="13.2" x14ac:dyDescent="0.2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</row>
    <row r="771" spans="2:81" ht="13.2" x14ac:dyDescent="0.2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</row>
    <row r="772" spans="2:81" ht="13.2" x14ac:dyDescent="0.2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</row>
    <row r="773" spans="2:81" ht="13.2" x14ac:dyDescent="0.2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</row>
    <row r="774" spans="2:81" ht="13.2" x14ac:dyDescent="0.2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</row>
    <row r="775" spans="2:81" ht="13.2" x14ac:dyDescent="0.2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</row>
    <row r="776" spans="2:81" ht="13.2" x14ac:dyDescent="0.2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</row>
    <row r="777" spans="2:81" ht="13.2" x14ac:dyDescent="0.2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</row>
    <row r="778" spans="2:81" ht="13.2" x14ac:dyDescent="0.2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</row>
    <row r="779" spans="2:81" ht="13.2" x14ac:dyDescent="0.2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</row>
    <row r="780" spans="2:81" ht="13.2" x14ac:dyDescent="0.2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</row>
    <row r="781" spans="2:81" ht="13.2" x14ac:dyDescent="0.2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</row>
    <row r="782" spans="2:81" ht="13.2" x14ac:dyDescent="0.2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</row>
    <row r="783" spans="2:81" ht="13.2" x14ac:dyDescent="0.2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</row>
    <row r="784" spans="2:81" ht="13.2" x14ac:dyDescent="0.2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</row>
    <row r="785" spans="2:81" ht="13.2" x14ac:dyDescent="0.2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</row>
    <row r="786" spans="2:81" ht="13.2" x14ac:dyDescent="0.2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</row>
    <row r="787" spans="2:81" ht="13.2" x14ac:dyDescent="0.2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</row>
    <row r="788" spans="2:81" ht="13.2" x14ac:dyDescent="0.2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</row>
    <row r="789" spans="2:81" ht="13.2" x14ac:dyDescent="0.2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</row>
    <row r="790" spans="2:81" ht="13.2" x14ac:dyDescent="0.2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</row>
    <row r="791" spans="2:81" ht="13.2" x14ac:dyDescent="0.2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</row>
    <row r="792" spans="2:81" ht="13.2" x14ac:dyDescent="0.2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</row>
    <row r="793" spans="2:81" ht="13.2" x14ac:dyDescent="0.2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</row>
    <row r="794" spans="2:81" ht="13.2" x14ac:dyDescent="0.2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</row>
    <row r="795" spans="2:81" ht="13.2" x14ac:dyDescent="0.2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</row>
    <row r="796" spans="2:81" ht="13.2" x14ac:dyDescent="0.2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</row>
    <row r="797" spans="2:81" ht="13.2" x14ac:dyDescent="0.2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</row>
    <row r="798" spans="2:81" ht="13.2" x14ac:dyDescent="0.2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</row>
    <row r="799" spans="2:81" ht="13.2" x14ac:dyDescent="0.2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</row>
    <row r="800" spans="2:81" ht="13.2" x14ac:dyDescent="0.2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</row>
    <row r="801" spans="2:81" ht="13.2" x14ac:dyDescent="0.2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</row>
    <row r="802" spans="2:81" ht="13.2" x14ac:dyDescent="0.2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</row>
    <row r="803" spans="2:81" ht="13.2" x14ac:dyDescent="0.2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</row>
    <row r="804" spans="2:81" ht="13.2" x14ac:dyDescent="0.2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</row>
    <row r="805" spans="2:81" ht="13.2" x14ac:dyDescent="0.2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</row>
    <row r="806" spans="2:81" ht="13.2" x14ac:dyDescent="0.2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</row>
    <row r="807" spans="2:81" ht="13.2" x14ac:dyDescent="0.2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</row>
    <row r="808" spans="2:81" ht="13.2" x14ac:dyDescent="0.2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</row>
    <row r="809" spans="2:81" ht="13.2" x14ac:dyDescent="0.2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</row>
    <row r="810" spans="2:81" ht="13.2" x14ac:dyDescent="0.2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</row>
    <row r="811" spans="2:81" ht="13.2" x14ac:dyDescent="0.2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</row>
    <row r="812" spans="2:81" ht="13.2" x14ac:dyDescent="0.2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</row>
    <row r="813" spans="2:81" ht="13.2" x14ac:dyDescent="0.2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</row>
    <row r="814" spans="2:81" ht="13.2" x14ac:dyDescent="0.2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</row>
    <row r="815" spans="2:81" ht="13.2" x14ac:dyDescent="0.2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</row>
    <row r="816" spans="2:81" ht="13.2" x14ac:dyDescent="0.2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</row>
    <row r="817" spans="2:81" ht="13.2" x14ac:dyDescent="0.2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</row>
    <row r="818" spans="2:81" ht="13.2" x14ac:dyDescent="0.2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</row>
    <row r="819" spans="2:81" ht="13.2" x14ac:dyDescent="0.2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</row>
    <row r="820" spans="2:81" ht="13.2" x14ac:dyDescent="0.2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</row>
    <row r="821" spans="2:81" ht="13.2" x14ac:dyDescent="0.2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</row>
    <row r="822" spans="2:81" ht="13.2" x14ac:dyDescent="0.2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</row>
    <row r="823" spans="2:81" ht="13.2" x14ac:dyDescent="0.2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</row>
    <row r="824" spans="2:81" ht="13.2" x14ac:dyDescent="0.2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</row>
    <row r="825" spans="2:81" ht="13.2" x14ac:dyDescent="0.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</row>
    <row r="826" spans="2:81" ht="13.2" x14ac:dyDescent="0.2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</row>
    <row r="827" spans="2:81" ht="13.2" x14ac:dyDescent="0.2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</row>
    <row r="828" spans="2:81" ht="13.2" x14ac:dyDescent="0.2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</row>
    <row r="829" spans="2:81" ht="13.2" x14ac:dyDescent="0.2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</row>
    <row r="830" spans="2:81" ht="13.2" x14ac:dyDescent="0.2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</row>
    <row r="831" spans="2:81" ht="13.2" x14ac:dyDescent="0.2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</row>
    <row r="832" spans="2:81" ht="13.2" x14ac:dyDescent="0.2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</row>
    <row r="833" spans="2:81" ht="13.2" x14ac:dyDescent="0.2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</row>
    <row r="834" spans="2:81" ht="13.2" x14ac:dyDescent="0.2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</row>
    <row r="835" spans="2:81" ht="13.2" x14ac:dyDescent="0.2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</row>
    <row r="836" spans="2:81" ht="13.2" x14ac:dyDescent="0.2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</row>
    <row r="837" spans="2:81" ht="13.2" x14ac:dyDescent="0.2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</row>
    <row r="838" spans="2:81" ht="13.2" x14ac:dyDescent="0.2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</row>
    <row r="839" spans="2:81" ht="13.2" x14ac:dyDescent="0.2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</row>
    <row r="840" spans="2:81" ht="13.2" x14ac:dyDescent="0.2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</row>
    <row r="841" spans="2:81" ht="13.2" x14ac:dyDescent="0.2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</row>
    <row r="842" spans="2:81" ht="13.2" x14ac:dyDescent="0.2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</row>
    <row r="843" spans="2:81" ht="13.2" x14ac:dyDescent="0.2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</row>
    <row r="844" spans="2:81" ht="13.2" x14ac:dyDescent="0.2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</row>
    <row r="845" spans="2:81" ht="13.2" x14ac:dyDescent="0.2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</row>
    <row r="846" spans="2:81" ht="13.2" x14ac:dyDescent="0.2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</row>
    <row r="847" spans="2:81" ht="13.2" x14ac:dyDescent="0.2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</row>
    <row r="848" spans="2:81" ht="13.2" x14ac:dyDescent="0.2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</row>
    <row r="849" spans="2:81" ht="13.2" x14ac:dyDescent="0.2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</row>
    <row r="850" spans="2:81" ht="13.2" x14ac:dyDescent="0.2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</row>
    <row r="851" spans="2:81" ht="13.2" x14ac:dyDescent="0.2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</row>
    <row r="852" spans="2:81" ht="13.2" x14ac:dyDescent="0.2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</row>
    <row r="853" spans="2:81" ht="13.2" x14ac:dyDescent="0.2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</row>
    <row r="854" spans="2:81" ht="13.2" x14ac:dyDescent="0.2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</row>
    <row r="855" spans="2:81" ht="13.2" x14ac:dyDescent="0.2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</row>
    <row r="856" spans="2:81" ht="13.2" x14ac:dyDescent="0.2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</row>
    <row r="857" spans="2:81" ht="13.2" x14ac:dyDescent="0.2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</row>
    <row r="858" spans="2:81" ht="13.2" x14ac:dyDescent="0.2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</row>
    <row r="859" spans="2:81" ht="13.2" x14ac:dyDescent="0.2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</row>
    <row r="860" spans="2:81" ht="13.2" x14ac:dyDescent="0.2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</row>
    <row r="861" spans="2:81" ht="13.2" x14ac:dyDescent="0.2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</row>
    <row r="862" spans="2:81" ht="13.2" x14ac:dyDescent="0.2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</row>
    <row r="863" spans="2:81" ht="13.2" x14ac:dyDescent="0.2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</row>
    <row r="864" spans="2:81" ht="13.2" x14ac:dyDescent="0.2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</row>
    <row r="865" spans="2:81" ht="13.2" x14ac:dyDescent="0.2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</row>
    <row r="866" spans="2:81" ht="13.2" x14ac:dyDescent="0.2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</row>
    <row r="867" spans="2:81" ht="13.2" x14ac:dyDescent="0.2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</row>
    <row r="868" spans="2:81" ht="13.2" x14ac:dyDescent="0.2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</row>
    <row r="869" spans="2:81" ht="13.2" x14ac:dyDescent="0.2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</row>
    <row r="870" spans="2:81" ht="13.2" x14ac:dyDescent="0.2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</row>
    <row r="871" spans="2:81" ht="13.2" x14ac:dyDescent="0.2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</row>
    <row r="872" spans="2:81" ht="13.2" x14ac:dyDescent="0.2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</row>
    <row r="873" spans="2:81" ht="13.2" x14ac:dyDescent="0.2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</row>
    <row r="874" spans="2:81" ht="13.2" x14ac:dyDescent="0.2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</row>
    <row r="875" spans="2:81" ht="13.2" x14ac:dyDescent="0.2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</row>
    <row r="876" spans="2:81" ht="13.2" x14ac:dyDescent="0.2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</row>
    <row r="877" spans="2:81" ht="13.2" x14ac:dyDescent="0.2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</row>
    <row r="878" spans="2:81" ht="13.2" x14ac:dyDescent="0.2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</row>
    <row r="879" spans="2:81" ht="13.2" x14ac:dyDescent="0.2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</row>
    <row r="880" spans="2:81" ht="13.2" x14ac:dyDescent="0.2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</row>
    <row r="881" spans="2:81" ht="13.2" x14ac:dyDescent="0.2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</row>
    <row r="882" spans="2:81" ht="13.2" x14ac:dyDescent="0.2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</row>
    <row r="883" spans="2:81" ht="13.2" x14ac:dyDescent="0.2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</row>
    <row r="884" spans="2:81" ht="13.2" x14ac:dyDescent="0.2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</row>
    <row r="885" spans="2:81" ht="13.2" x14ac:dyDescent="0.2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</row>
    <row r="886" spans="2:81" ht="13.2" x14ac:dyDescent="0.2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</row>
    <row r="887" spans="2:81" ht="13.2" x14ac:dyDescent="0.2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</row>
    <row r="888" spans="2:81" ht="13.2" x14ac:dyDescent="0.2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</row>
    <row r="889" spans="2:81" ht="13.2" x14ac:dyDescent="0.2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</row>
    <row r="890" spans="2:81" ht="13.2" x14ac:dyDescent="0.2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</row>
    <row r="891" spans="2:81" ht="13.2" x14ac:dyDescent="0.2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</row>
    <row r="892" spans="2:81" ht="13.2" x14ac:dyDescent="0.2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</row>
    <row r="893" spans="2:81" ht="13.2" x14ac:dyDescent="0.2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</row>
    <row r="894" spans="2:81" ht="13.2" x14ac:dyDescent="0.2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</row>
    <row r="895" spans="2:81" ht="13.2" x14ac:dyDescent="0.2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</row>
    <row r="896" spans="2:81" ht="13.2" x14ac:dyDescent="0.2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</row>
    <row r="897" spans="2:81" ht="13.2" x14ac:dyDescent="0.2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</row>
    <row r="898" spans="2:81" ht="13.2" x14ac:dyDescent="0.2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</row>
    <row r="899" spans="2:81" ht="13.2" x14ac:dyDescent="0.2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</row>
    <row r="900" spans="2:81" ht="13.2" x14ac:dyDescent="0.2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</row>
    <row r="901" spans="2:81" ht="13.2" x14ac:dyDescent="0.2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</row>
    <row r="902" spans="2:81" ht="13.2" x14ac:dyDescent="0.2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</row>
    <row r="903" spans="2:81" ht="13.2" x14ac:dyDescent="0.2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</row>
    <row r="904" spans="2:81" ht="13.2" x14ac:dyDescent="0.2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</row>
    <row r="905" spans="2:81" ht="13.2" x14ac:dyDescent="0.2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</row>
    <row r="906" spans="2:81" ht="13.2" x14ac:dyDescent="0.2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</row>
    <row r="907" spans="2:81" ht="13.2" x14ac:dyDescent="0.2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</row>
    <row r="908" spans="2:81" ht="13.2" x14ac:dyDescent="0.2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</row>
    <row r="909" spans="2:81" ht="13.2" x14ac:dyDescent="0.2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</row>
    <row r="910" spans="2:81" ht="13.2" x14ac:dyDescent="0.2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</row>
    <row r="911" spans="2:81" ht="13.2" x14ac:dyDescent="0.2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</row>
    <row r="912" spans="2:81" ht="13.2" x14ac:dyDescent="0.2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</row>
    <row r="913" spans="2:81" ht="13.2" x14ac:dyDescent="0.2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</row>
    <row r="914" spans="2:81" ht="13.2" x14ac:dyDescent="0.2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</row>
    <row r="915" spans="2:81" ht="13.2" x14ac:dyDescent="0.2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</row>
    <row r="916" spans="2:81" ht="13.2" x14ac:dyDescent="0.2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</row>
    <row r="917" spans="2:81" ht="13.2" x14ac:dyDescent="0.2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</row>
    <row r="918" spans="2:81" ht="13.2" x14ac:dyDescent="0.2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</row>
    <row r="919" spans="2:81" ht="13.2" x14ac:dyDescent="0.2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</row>
    <row r="920" spans="2:81" ht="13.2" x14ac:dyDescent="0.2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</row>
    <row r="921" spans="2:81" ht="13.2" x14ac:dyDescent="0.2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</row>
    <row r="922" spans="2:81" ht="13.2" x14ac:dyDescent="0.2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</row>
    <row r="923" spans="2:81" ht="13.2" x14ac:dyDescent="0.2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</row>
    <row r="924" spans="2:81" ht="13.2" x14ac:dyDescent="0.2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</row>
    <row r="925" spans="2:81" ht="13.2" x14ac:dyDescent="0.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</row>
    <row r="926" spans="2:81" ht="13.2" x14ac:dyDescent="0.2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</row>
    <row r="927" spans="2:81" ht="13.2" x14ac:dyDescent="0.2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</row>
    <row r="928" spans="2:81" ht="13.2" x14ac:dyDescent="0.2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</row>
    <row r="929" spans="2:81" ht="13.2" x14ac:dyDescent="0.2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</row>
    <row r="930" spans="2:81" ht="13.2" x14ac:dyDescent="0.2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</row>
    <row r="931" spans="2:81" ht="13.2" x14ac:dyDescent="0.2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</row>
    <row r="932" spans="2:81" ht="13.2" x14ac:dyDescent="0.2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</row>
    <row r="933" spans="2:81" ht="13.2" x14ac:dyDescent="0.2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</row>
    <row r="934" spans="2:81" ht="13.2" x14ac:dyDescent="0.2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</row>
    <row r="935" spans="2:81" ht="13.2" x14ac:dyDescent="0.2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</row>
    <row r="936" spans="2:81" ht="13.2" x14ac:dyDescent="0.2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</row>
    <row r="937" spans="2:81" ht="13.2" x14ac:dyDescent="0.2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</row>
    <row r="938" spans="2:81" ht="13.2" x14ac:dyDescent="0.2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</row>
    <row r="939" spans="2:81" ht="13.2" x14ac:dyDescent="0.2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</row>
    <row r="940" spans="2:81" ht="13.2" x14ac:dyDescent="0.2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</row>
    <row r="941" spans="2:81" ht="13.2" x14ac:dyDescent="0.2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</row>
    <row r="942" spans="2:81" ht="13.2" x14ac:dyDescent="0.2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</row>
    <row r="943" spans="2:81" ht="13.2" x14ac:dyDescent="0.2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</row>
    <row r="944" spans="2:81" ht="13.2" x14ac:dyDescent="0.2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</row>
    <row r="945" spans="2:81" ht="13.2" x14ac:dyDescent="0.2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</row>
    <row r="946" spans="2:81" ht="13.2" x14ac:dyDescent="0.2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</row>
    <row r="947" spans="2:81" ht="13.2" x14ac:dyDescent="0.2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</row>
    <row r="948" spans="2:81" ht="13.2" x14ac:dyDescent="0.2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</row>
    <row r="949" spans="2:81" ht="13.2" x14ac:dyDescent="0.2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</row>
    <row r="950" spans="2:81" ht="13.2" x14ac:dyDescent="0.2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</row>
    <row r="951" spans="2:81" ht="13.2" x14ac:dyDescent="0.2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</row>
    <row r="952" spans="2:81" ht="13.2" x14ac:dyDescent="0.2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</row>
    <row r="953" spans="2:81" ht="13.2" x14ac:dyDescent="0.2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</row>
    <row r="954" spans="2:81" ht="13.2" x14ac:dyDescent="0.2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</row>
    <row r="955" spans="2:81" ht="13.2" x14ac:dyDescent="0.2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</row>
    <row r="956" spans="2:81" ht="13.2" x14ac:dyDescent="0.2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</row>
    <row r="957" spans="2:81" ht="13.2" x14ac:dyDescent="0.2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</row>
    <row r="958" spans="2:81" ht="13.2" x14ac:dyDescent="0.2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</row>
    <row r="959" spans="2:81" ht="13.2" x14ac:dyDescent="0.2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</row>
    <row r="960" spans="2:81" ht="13.2" x14ac:dyDescent="0.2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</row>
    <row r="961" spans="2:81" ht="13.2" x14ac:dyDescent="0.2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</row>
    <row r="962" spans="2:81" ht="13.2" x14ac:dyDescent="0.2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</row>
    <row r="963" spans="2:81" ht="13.2" x14ac:dyDescent="0.2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</row>
    <row r="964" spans="2:81" ht="13.2" x14ac:dyDescent="0.2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</row>
    <row r="965" spans="2:81" ht="13.2" x14ac:dyDescent="0.2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</row>
    <row r="966" spans="2:81" ht="13.2" x14ac:dyDescent="0.2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</row>
    <row r="967" spans="2:81" ht="13.2" x14ac:dyDescent="0.2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</row>
    <row r="968" spans="2:81" ht="13.2" x14ac:dyDescent="0.2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</row>
    <row r="969" spans="2:81" ht="13.2" x14ac:dyDescent="0.2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</row>
    <row r="970" spans="2:81" ht="13.2" x14ac:dyDescent="0.2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</row>
    <row r="971" spans="2:81" ht="13.2" x14ac:dyDescent="0.2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</row>
    <row r="972" spans="2:81" ht="13.2" x14ac:dyDescent="0.2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</row>
    <row r="973" spans="2:81" ht="13.2" x14ac:dyDescent="0.2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</row>
    <row r="974" spans="2:81" ht="13.2" x14ac:dyDescent="0.2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</row>
    <row r="975" spans="2:81" ht="13.2" x14ac:dyDescent="0.2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</row>
    <row r="976" spans="2:81" ht="13.2" x14ac:dyDescent="0.2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</row>
    <row r="977" spans="2:81" ht="13.2" x14ac:dyDescent="0.25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</row>
    <row r="978" spans="2:81" ht="13.2" x14ac:dyDescent="0.25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</row>
    <row r="979" spans="2:81" ht="13.2" x14ac:dyDescent="0.25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</row>
    <row r="980" spans="2:81" ht="13.2" x14ac:dyDescent="0.25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</row>
    <row r="981" spans="2:81" ht="13.2" x14ac:dyDescent="0.25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</row>
    <row r="982" spans="2:81" ht="13.2" x14ac:dyDescent="0.25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</row>
    <row r="983" spans="2:81" ht="13.2" x14ac:dyDescent="0.25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</row>
    <row r="984" spans="2:81" ht="13.2" x14ac:dyDescent="0.25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</row>
    <row r="985" spans="2:81" ht="13.2" x14ac:dyDescent="0.2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</row>
    <row r="986" spans="2:81" ht="13.2" x14ac:dyDescent="0.25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</row>
    <row r="987" spans="2:81" ht="13.2" x14ac:dyDescent="0.25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</row>
    <row r="988" spans="2:81" ht="13.2" x14ac:dyDescent="0.25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</row>
    <row r="989" spans="2:81" ht="13.2" x14ac:dyDescent="0.25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</row>
  </sheetData>
  <mergeCells count="58">
    <mergeCell ref="CB1:CC1"/>
    <mergeCell ref="BB2:BE2"/>
    <mergeCell ref="BF2:BI2"/>
    <mergeCell ref="BR1:BS1"/>
    <mergeCell ref="BO2:BS2"/>
    <mergeCell ref="BT2:BX2"/>
    <mergeCell ref="BY2:CC2"/>
    <mergeCell ref="BO1:BP1"/>
    <mergeCell ref="BT1:BU1"/>
    <mergeCell ref="BW1:BX1"/>
    <mergeCell ref="BY1:BZ1"/>
    <mergeCell ref="BJ1:BK1"/>
    <mergeCell ref="BM1:BN1"/>
    <mergeCell ref="BJ2:BN2"/>
    <mergeCell ref="AZ1:BA1"/>
    <mergeCell ref="BB1:BC1"/>
    <mergeCell ref="BD1:BE1"/>
    <mergeCell ref="BF1:BG1"/>
    <mergeCell ref="BH1:BI1"/>
    <mergeCell ref="AP1:AQ1"/>
    <mergeCell ref="AR1:AS1"/>
    <mergeCell ref="AT1:AU1"/>
    <mergeCell ref="AV1:AW1"/>
    <mergeCell ref="AX1:AY1"/>
    <mergeCell ref="AF1:AG1"/>
    <mergeCell ref="AH1:AI1"/>
    <mergeCell ref="AJ1:AK1"/>
    <mergeCell ref="AL1:AM1"/>
    <mergeCell ref="AN1:AO1"/>
    <mergeCell ref="V1:W1"/>
    <mergeCell ref="X1:Y1"/>
    <mergeCell ref="Z1:AA1"/>
    <mergeCell ref="AB1:AC1"/>
    <mergeCell ref="AD1:AE1"/>
    <mergeCell ref="A1:A3"/>
    <mergeCell ref="B1:C1"/>
    <mergeCell ref="D1:E1"/>
    <mergeCell ref="F1:G1"/>
    <mergeCell ref="H1:I1"/>
    <mergeCell ref="T1:U1"/>
    <mergeCell ref="B2:E2"/>
    <mergeCell ref="F2:I2"/>
    <mergeCell ref="J2:M2"/>
    <mergeCell ref="N2:Q2"/>
    <mergeCell ref="R2:U2"/>
    <mergeCell ref="J1:K1"/>
    <mergeCell ref="L1:M1"/>
    <mergeCell ref="N1:O1"/>
    <mergeCell ref="P1:Q1"/>
    <mergeCell ref="R1:S1"/>
    <mergeCell ref="AP2:AS2"/>
    <mergeCell ref="AT2:AW2"/>
    <mergeCell ref="AX2:BA2"/>
    <mergeCell ref="V2:Y2"/>
    <mergeCell ref="Z2:AC2"/>
    <mergeCell ref="AD2:AG2"/>
    <mergeCell ref="AH2:AK2"/>
    <mergeCell ref="AL2:AO2"/>
  </mergeCells>
  <conditionalFormatting sqref="J14:J19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DB89-0B1C-4881-9385-572A8AC52014}">
  <sheetPr>
    <outlinePr summaryBelow="0" summaryRight="0"/>
  </sheetPr>
  <dimension ref="A1:CC985"/>
  <sheetViews>
    <sheetView showGridLines="0" zoomScale="145" zoomScaleNormal="145" workbookViewId="0">
      <selection activeCell="A9" sqref="A9"/>
    </sheetView>
  </sheetViews>
  <sheetFormatPr baseColWidth="10" defaultColWidth="12.6640625" defaultRowHeight="15.75" customHeight="1" x14ac:dyDescent="0.25"/>
  <cols>
    <col min="1" max="1" width="33.6640625" customWidth="1"/>
    <col min="2" max="2" width="6.6640625" customWidth="1"/>
    <col min="3" max="5" width="5.33203125" customWidth="1"/>
    <col min="6" max="7" width="7.109375" customWidth="1"/>
    <col min="8" max="8" width="6.44140625" customWidth="1"/>
    <col min="9" max="9" width="6.77734375" customWidth="1"/>
    <col min="10" max="11" width="6.5546875" customWidth="1"/>
    <col min="12" max="61" width="5.33203125" customWidth="1"/>
    <col min="62" max="62" width="5.6640625" bestFit="1" customWidth="1"/>
    <col min="63" max="81" width="5.33203125" customWidth="1"/>
  </cols>
  <sheetData>
    <row r="1" spans="1:81" ht="14.4" thickBot="1" x14ac:dyDescent="0.3">
      <c r="A1" s="286" t="s">
        <v>0</v>
      </c>
      <c r="B1" s="280">
        <v>45908</v>
      </c>
      <c r="C1" s="281"/>
      <c r="D1" s="276">
        <f>B1+6</f>
        <v>45914</v>
      </c>
      <c r="E1" s="277"/>
      <c r="F1" s="280">
        <f>B1+7</f>
        <v>45915</v>
      </c>
      <c r="G1" s="281"/>
      <c r="H1" s="276">
        <f>D1+7</f>
        <v>45921</v>
      </c>
      <c r="I1" s="277"/>
      <c r="J1" s="280">
        <f>F1+7</f>
        <v>45922</v>
      </c>
      <c r="K1" s="281"/>
      <c r="L1" s="276">
        <f>H1+7</f>
        <v>45928</v>
      </c>
      <c r="M1" s="277"/>
      <c r="N1" s="280">
        <f>J1+7</f>
        <v>45929</v>
      </c>
      <c r="O1" s="281"/>
      <c r="P1" s="276">
        <f>L1+7</f>
        <v>45935</v>
      </c>
      <c r="Q1" s="277"/>
      <c r="R1" s="280">
        <f>N1+7</f>
        <v>45936</v>
      </c>
      <c r="S1" s="281"/>
      <c r="T1" s="276">
        <f>P1+7</f>
        <v>45942</v>
      </c>
      <c r="U1" s="277"/>
      <c r="V1" s="280">
        <f>R1+7</f>
        <v>45943</v>
      </c>
      <c r="W1" s="281"/>
      <c r="X1" s="276">
        <f>T1+7</f>
        <v>45949</v>
      </c>
      <c r="Y1" s="277"/>
      <c r="Z1" s="280">
        <f>V1+7</f>
        <v>45950</v>
      </c>
      <c r="AA1" s="281"/>
      <c r="AB1" s="276">
        <f>X1+7</f>
        <v>45956</v>
      </c>
      <c r="AC1" s="277"/>
      <c r="AD1" s="280">
        <f>Z1+7</f>
        <v>45957</v>
      </c>
      <c r="AE1" s="281"/>
      <c r="AF1" s="276">
        <f>AB1+7</f>
        <v>45963</v>
      </c>
      <c r="AG1" s="277"/>
      <c r="AH1" s="280">
        <f>AD1+7</f>
        <v>45964</v>
      </c>
      <c r="AI1" s="281"/>
      <c r="AJ1" s="276">
        <f>AF1+7</f>
        <v>45970</v>
      </c>
      <c r="AK1" s="277"/>
      <c r="AL1" s="280">
        <f>AH1+7</f>
        <v>45971</v>
      </c>
      <c r="AM1" s="281"/>
      <c r="AN1" s="276">
        <f>AJ1+7</f>
        <v>45977</v>
      </c>
      <c r="AO1" s="277"/>
      <c r="AP1" s="280">
        <f>AL1+7</f>
        <v>45978</v>
      </c>
      <c r="AQ1" s="281"/>
      <c r="AR1" s="276">
        <f>AN1+7</f>
        <v>45984</v>
      </c>
      <c r="AS1" s="277"/>
      <c r="AT1" s="280">
        <f>AP1+7</f>
        <v>45985</v>
      </c>
      <c r="AU1" s="281"/>
      <c r="AV1" s="276">
        <f>AR1+7</f>
        <v>45991</v>
      </c>
      <c r="AW1" s="277"/>
      <c r="AX1" s="280">
        <f>AT1+7</f>
        <v>45992</v>
      </c>
      <c r="AY1" s="281"/>
      <c r="AZ1" s="276">
        <f>AV1+7</f>
        <v>45998</v>
      </c>
      <c r="BA1" s="277"/>
      <c r="BB1" s="280">
        <f>AX1+7</f>
        <v>45999</v>
      </c>
      <c r="BC1" s="281"/>
      <c r="BD1" s="276">
        <f>AZ1+7</f>
        <v>46005</v>
      </c>
      <c r="BE1" s="277"/>
      <c r="BF1" s="280">
        <v>46034</v>
      </c>
      <c r="BG1" s="281"/>
      <c r="BH1" s="276">
        <f>BF1+6</f>
        <v>46040</v>
      </c>
      <c r="BI1" s="277"/>
      <c r="BJ1" s="280">
        <f>BF1+7</f>
        <v>46041</v>
      </c>
      <c r="BK1" s="281"/>
      <c r="BL1" s="74"/>
      <c r="BM1" s="276">
        <f>BH1+7</f>
        <v>46047</v>
      </c>
      <c r="BN1" s="285"/>
      <c r="BO1" s="280">
        <f>BJ1+7</f>
        <v>46048</v>
      </c>
      <c r="BP1" s="281"/>
      <c r="BQ1" s="74"/>
      <c r="BR1" s="276">
        <f>BM1+7</f>
        <v>46054</v>
      </c>
      <c r="BS1" s="285"/>
      <c r="BT1" s="280">
        <f>BO1+7</f>
        <v>46055</v>
      </c>
      <c r="BU1" s="281"/>
      <c r="BV1" s="74"/>
      <c r="BW1" s="276">
        <f>BR1+7</f>
        <v>46061</v>
      </c>
      <c r="BX1" s="277"/>
      <c r="BY1" s="280">
        <f>BT1+7</f>
        <v>46062</v>
      </c>
      <c r="BZ1" s="281"/>
      <c r="CA1" s="74"/>
      <c r="CB1" s="276">
        <f>BW1+7</f>
        <v>46068</v>
      </c>
      <c r="CC1" s="277"/>
    </row>
    <row r="2" spans="1:81" ht="13.8" thickBot="1" x14ac:dyDescent="0.3">
      <c r="A2" s="287"/>
      <c r="B2" s="273" t="s">
        <v>1</v>
      </c>
      <c r="C2" s="274"/>
      <c r="D2" s="274"/>
      <c r="E2" s="275"/>
      <c r="F2" s="273" t="s">
        <v>2</v>
      </c>
      <c r="G2" s="274"/>
      <c r="H2" s="274"/>
      <c r="I2" s="275"/>
      <c r="J2" s="273" t="s">
        <v>3</v>
      </c>
      <c r="K2" s="278"/>
      <c r="L2" s="278"/>
      <c r="M2" s="279"/>
      <c r="N2" s="273" t="s">
        <v>4</v>
      </c>
      <c r="O2" s="274"/>
      <c r="P2" s="274"/>
      <c r="Q2" s="275"/>
      <c r="R2" s="273" t="s">
        <v>5</v>
      </c>
      <c r="S2" s="274"/>
      <c r="T2" s="274"/>
      <c r="U2" s="275"/>
      <c r="V2" s="273" t="s">
        <v>6</v>
      </c>
      <c r="W2" s="274"/>
      <c r="X2" s="274"/>
      <c r="Y2" s="275"/>
      <c r="Z2" s="273" t="s">
        <v>7</v>
      </c>
      <c r="AA2" s="274"/>
      <c r="AB2" s="274"/>
      <c r="AC2" s="275"/>
      <c r="AD2" s="273" t="s">
        <v>8</v>
      </c>
      <c r="AE2" s="274"/>
      <c r="AF2" s="274"/>
      <c r="AG2" s="275"/>
      <c r="AH2" s="273" t="s">
        <v>9</v>
      </c>
      <c r="AI2" s="274"/>
      <c r="AJ2" s="274"/>
      <c r="AK2" s="275"/>
      <c r="AL2" s="273" t="s">
        <v>10</v>
      </c>
      <c r="AM2" s="274"/>
      <c r="AN2" s="274"/>
      <c r="AO2" s="275"/>
      <c r="AP2" s="273" t="s">
        <v>11</v>
      </c>
      <c r="AQ2" s="274"/>
      <c r="AR2" s="274"/>
      <c r="AS2" s="275"/>
      <c r="AT2" s="273" t="s">
        <v>43</v>
      </c>
      <c r="AU2" s="274"/>
      <c r="AV2" s="274"/>
      <c r="AW2" s="275"/>
      <c r="AX2" s="273" t="s">
        <v>44</v>
      </c>
      <c r="AY2" s="274"/>
      <c r="AZ2" s="274"/>
      <c r="BA2" s="275"/>
      <c r="BB2" s="273" t="s">
        <v>45</v>
      </c>
      <c r="BC2" s="274"/>
      <c r="BD2" s="274"/>
      <c r="BE2" s="275"/>
      <c r="BF2" s="273" t="s">
        <v>46</v>
      </c>
      <c r="BG2" s="274"/>
      <c r="BH2" s="274"/>
      <c r="BI2" s="275"/>
      <c r="BJ2" s="273" t="s">
        <v>67</v>
      </c>
      <c r="BK2" s="274"/>
      <c r="BL2" s="274"/>
      <c r="BM2" s="274"/>
      <c r="BN2" s="275"/>
      <c r="BO2" s="273" t="s">
        <v>73</v>
      </c>
      <c r="BP2" s="274"/>
      <c r="BQ2" s="274"/>
      <c r="BR2" s="274"/>
      <c r="BS2" s="275"/>
      <c r="BT2" s="273" t="s">
        <v>72</v>
      </c>
      <c r="BU2" s="274"/>
      <c r="BV2" s="274"/>
      <c r="BW2" s="274"/>
      <c r="BX2" s="275"/>
      <c r="BY2" s="278" t="s">
        <v>71</v>
      </c>
      <c r="BZ2" s="274"/>
      <c r="CA2" s="274"/>
      <c r="CB2" s="274"/>
      <c r="CC2" s="275"/>
    </row>
    <row r="3" spans="1:81" ht="13.8" thickBot="1" x14ac:dyDescent="0.3">
      <c r="A3" s="288"/>
      <c r="B3" s="63">
        <v>1</v>
      </c>
      <c r="C3" s="64">
        <v>2</v>
      </c>
      <c r="D3" s="64">
        <v>3</v>
      </c>
      <c r="E3" s="65">
        <v>4</v>
      </c>
      <c r="F3" s="63">
        <v>1</v>
      </c>
      <c r="G3" s="64">
        <v>2</v>
      </c>
      <c r="H3" s="64">
        <v>3</v>
      </c>
      <c r="I3" s="65">
        <v>4</v>
      </c>
      <c r="J3" s="63">
        <v>1</v>
      </c>
      <c r="K3" s="64">
        <v>2</v>
      </c>
      <c r="L3" s="64">
        <v>3</v>
      </c>
      <c r="M3" s="65">
        <v>4</v>
      </c>
      <c r="N3" s="63">
        <v>1</v>
      </c>
      <c r="O3" s="64">
        <v>2</v>
      </c>
      <c r="P3" s="64">
        <v>3</v>
      </c>
      <c r="Q3" s="65">
        <v>4</v>
      </c>
      <c r="R3" s="63">
        <v>1</v>
      </c>
      <c r="S3" s="64">
        <v>2</v>
      </c>
      <c r="T3" s="64">
        <v>3</v>
      </c>
      <c r="U3" s="65">
        <v>4</v>
      </c>
      <c r="V3" s="63">
        <v>1</v>
      </c>
      <c r="W3" s="64">
        <v>2</v>
      </c>
      <c r="X3" s="64">
        <v>3</v>
      </c>
      <c r="Y3" s="65">
        <v>4</v>
      </c>
      <c r="Z3" s="63">
        <v>1</v>
      </c>
      <c r="AA3" s="64">
        <v>2</v>
      </c>
      <c r="AB3" s="64">
        <v>3</v>
      </c>
      <c r="AC3" s="65">
        <v>4</v>
      </c>
      <c r="AD3" s="63">
        <v>1</v>
      </c>
      <c r="AE3" s="64">
        <v>2</v>
      </c>
      <c r="AF3" s="64">
        <v>3</v>
      </c>
      <c r="AG3" s="65">
        <v>4</v>
      </c>
      <c r="AH3" s="63">
        <v>1</v>
      </c>
      <c r="AI3" s="64">
        <v>2</v>
      </c>
      <c r="AJ3" s="64">
        <v>3</v>
      </c>
      <c r="AK3" s="65">
        <v>4</v>
      </c>
      <c r="AL3" s="63">
        <v>1</v>
      </c>
      <c r="AM3" s="64">
        <v>2</v>
      </c>
      <c r="AN3" s="64">
        <v>3</v>
      </c>
      <c r="AO3" s="65">
        <v>4</v>
      </c>
      <c r="AP3" s="63">
        <v>1</v>
      </c>
      <c r="AQ3" s="64">
        <v>2</v>
      </c>
      <c r="AR3" s="64">
        <v>3</v>
      </c>
      <c r="AS3" s="65">
        <v>4</v>
      </c>
      <c r="AT3" s="63">
        <v>1</v>
      </c>
      <c r="AU3" s="64">
        <v>2</v>
      </c>
      <c r="AV3" s="64">
        <v>3</v>
      </c>
      <c r="AW3" s="65">
        <v>4</v>
      </c>
      <c r="AX3" s="63">
        <v>1</v>
      </c>
      <c r="AY3" s="64">
        <v>2</v>
      </c>
      <c r="AZ3" s="64">
        <v>3</v>
      </c>
      <c r="BA3" s="65">
        <v>4</v>
      </c>
      <c r="BB3" s="63">
        <v>1</v>
      </c>
      <c r="BC3" s="64">
        <v>2</v>
      </c>
      <c r="BD3" s="64">
        <v>3</v>
      </c>
      <c r="BE3" s="65">
        <v>4</v>
      </c>
      <c r="BF3" s="63">
        <v>1</v>
      </c>
      <c r="BG3" s="64">
        <v>2</v>
      </c>
      <c r="BH3" s="64">
        <v>3</v>
      </c>
      <c r="BI3" s="65">
        <v>4</v>
      </c>
      <c r="BJ3" s="63">
        <v>1</v>
      </c>
      <c r="BK3" s="64">
        <v>2</v>
      </c>
      <c r="BL3" s="64">
        <v>3</v>
      </c>
      <c r="BM3" s="64">
        <v>4</v>
      </c>
      <c r="BN3" s="65">
        <v>5</v>
      </c>
      <c r="BO3" s="63">
        <v>1</v>
      </c>
      <c r="BP3" s="64">
        <v>2</v>
      </c>
      <c r="BQ3" s="64">
        <v>3</v>
      </c>
      <c r="BR3" s="64">
        <v>4</v>
      </c>
      <c r="BS3" s="65">
        <v>5</v>
      </c>
      <c r="BT3" s="63">
        <v>1</v>
      </c>
      <c r="BU3" s="64">
        <v>2</v>
      </c>
      <c r="BV3" s="64">
        <v>3</v>
      </c>
      <c r="BW3" s="64">
        <v>4</v>
      </c>
      <c r="BX3" s="65">
        <v>5</v>
      </c>
      <c r="BY3" s="63">
        <v>1</v>
      </c>
      <c r="BZ3" s="64">
        <v>2</v>
      </c>
      <c r="CA3" s="64">
        <v>3</v>
      </c>
      <c r="CB3" s="64">
        <v>4</v>
      </c>
      <c r="CC3" s="65">
        <v>5</v>
      </c>
    </row>
    <row r="4" spans="1:81" ht="13.8" thickTop="1" x14ac:dyDescent="0.25">
      <c r="A4" s="48" t="s">
        <v>63</v>
      </c>
      <c r="B4" s="49" t="s">
        <v>12</v>
      </c>
      <c r="C4" s="59" t="s">
        <v>18</v>
      </c>
      <c r="D4" s="59"/>
      <c r="E4" s="60"/>
      <c r="F4" s="49" t="s">
        <v>12</v>
      </c>
      <c r="G4" s="59" t="s">
        <v>12</v>
      </c>
      <c r="H4" s="59"/>
      <c r="I4" s="60"/>
      <c r="J4" s="49" t="s">
        <v>13</v>
      </c>
      <c r="K4" s="59" t="s">
        <v>12</v>
      </c>
      <c r="L4" s="59"/>
      <c r="M4" s="60"/>
      <c r="N4" s="49" t="s">
        <v>12</v>
      </c>
      <c r="O4" s="59" t="s">
        <v>18</v>
      </c>
      <c r="P4" s="59"/>
      <c r="Q4" s="60"/>
      <c r="R4" s="49" t="s">
        <v>12</v>
      </c>
      <c r="S4" s="59" t="s">
        <v>18</v>
      </c>
      <c r="T4" s="59"/>
      <c r="U4" s="60"/>
      <c r="V4" s="49" t="s">
        <v>12</v>
      </c>
      <c r="W4" s="59" t="s">
        <v>13</v>
      </c>
      <c r="X4" s="59"/>
      <c r="Y4" s="60"/>
      <c r="Z4" s="49" t="s">
        <v>12</v>
      </c>
      <c r="AA4" s="59" t="s">
        <v>13</v>
      </c>
      <c r="AB4" s="59"/>
      <c r="AC4" s="60"/>
      <c r="AD4" s="49" t="s">
        <v>12</v>
      </c>
      <c r="AE4" s="59" t="s">
        <v>18</v>
      </c>
      <c r="AF4" s="59"/>
      <c r="AG4" s="60"/>
      <c r="AH4" s="49" t="s">
        <v>18</v>
      </c>
      <c r="AI4" s="59" t="s">
        <v>12</v>
      </c>
      <c r="AJ4" s="59"/>
      <c r="AK4" s="60"/>
      <c r="AL4" s="49" t="s">
        <v>13</v>
      </c>
      <c r="AM4" s="59" t="s">
        <v>12</v>
      </c>
      <c r="AN4" s="59"/>
      <c r="AO4" s="60"/>
      <c r="AP4" s="49" t="s">
        <v>13</v>
      </c>
      <c r="AQ4" s="59" t="s">
        <v>18</v>
      </c>
      <c r="AR4" s="59"/>
      <c r="AS4" s="60"/>
      <c r="AT4" s="49" t="s">
        <v>13</v>
      </c>
      <c r="AU4" s="59" t="s">
        <v>12</v>
      </c>
      <c r="AV4" s="59"/>
      <c r="AW4" s="60"/>
      <c r="AX4" s="49" t="s">
        <v>12</v>
      </c>
      <c r="AY4" s="109"/>
      <c r="AZ4" s="59"/>
      <c r="BA4" s="60"/>
      <c r="BB4" s="49" t="s">
        <v>13</v>
      </c>
      <c r="BC4" s="59" t="s">
        <v>12</v>
      </c>
      <c r="BD4" s="59"/>
      <c r="BE4" s="60"/>
      <c r="BF4" s="49" t="s">
        <v>18</v>
      </c>
      <c r="BG4" s="59"/>
      <c r="BH4" s="59"/>
      <c r="BI4" s="60"/>
      <c r="BJ4" s="76"/>
      <c r="BK4" s="10"/>
      <c r="BL4" s="10"/>
      <c r="BM4" s="10"/>
      <c r="BN4" s="77"/>
      <c r="BO4" s="49"/>
      <c r="BP4" s="59"/>
      <c r="BQ4" s="59"/>
      <c r="BR4" s="59"/>
      <c r="BS4" s="60"/>
      <c r="BT4" s="112" t="s">
        <v>48</v>
      </c>
      <c r="BU4" s="109"/>
      <c r="BV4" s="59"/>
      <c r="BW4" s="59"/>
      <c r="BX4" s="60"/>
      <c r="BY4" s="112" t="s">
        <v>48</v>
      </c>
      <c r="BZ4" s="109"/>
      <c r="CA4" s="59"/>
      <c r="CB4" s="59"/>
      <c r="CC4" s="60"/>
    </row>
    <row r="5" spans="1:81" ht="13.2" x14ac:dyDescent="0.25">
      <c r="A5" s="26" t="s">
        <v>64</v>
      </c>
      <c r="B5" s="50" t="s">
        <v>12</v>
      </c>
      <c r="C5" s="1" t="s">
        <v>14</v>
      </c>
      <c r="D5" s="1"/>
      <c r="E5" s="51"/>
      <c r="F5" s="50" t="s">
        <v>12</v>
      </c>
      <c r="G5" s="1" t="s">
        <v>14</v>
      </c>
      <c r="H5" s="1" t="s">
        <v>14</v>
      </c>
      <c r="I5" s="51"/>
      <c r="J5" s="50" t="s">
        <v>49</v>
      </c>
      <c r="K5" s="1" t="s">
        <v>12</v>
      </c>
      <c r="L5" s="1" t="s">
        <v>14</v>
      </c>
      <c r="M5" s="51"/>
      <c r="N5" s="50" t="s">
        <v>12</v>
      </c>
      <c r="O5" s="1" t="s">
        <v>14</v>
      </c>
      <c r="P5" s="1" t="s">
        <v>14</v>
      </c>
      <c r="Q5" s="51"/>
      <c r="R5" s="50" t="s">
        <v>12</v>
      </c>
      <c r="S5" s="1" t="s">
        <v>14</v>
      </c>
      <c r="T5" s="1" t="s">
        <v>14</v>
      </c>
      <c r="U5" s="51"/>
      <c r="V5" s="149" t="s">
        <v>15</v>
      </c>
      <c r="W5" s="1"/>
      <c r="X5" s="1"/>
      <c r="Y5" s="51"/>
      <c r="Z5" s="50" t="s">
        <v>12</v>
      </c>
      <c r="AA5" s="1" t="s">
        <v>14</v>
      </c>
      <c r="AB5" s="1" t="s">
        <v>12</v>
      </c>
      <c r="AC5" s="51"/>
      <c r="AD5" s="50" t="s">
        <v>14</v>
      </c>
      <c r="AE5" s="1" t="s">
        <v>12</v>
      </c>
      <c r="AF5" s="1" t="s">
        <v>14</v>
      </c>
      <c r="AG5" s="51"/>
      <c r="AH5" s="50" t="s">
        <v>14</v>
      </c>
      <c r="AI5" s="1" t="s">
        <v>12</v>
      </c>
      <c r="AJ5" s="1" t="s">
        <v>14</v>
      </c>
      <c r="AK5" s="51"/>
      <c r="AL5" s="50" t="s">
        <v>49</v>
      </c>
      <c r="AM5" s="1" t="s">
        <v>12</v>
      </c>
      <c r="AN5" s="1" t="s">
        <v>14</v>
      </c>
      <c r="AO5" s="51"/>
      <c r="AP5" s="50" t="s">
        <v>12</v>
      </c>
      <c r="AQ5" s="1" t="s">
        <v>14</v>
      </c>
      <c r="AR5" s="1" t="s">
        <v>14</v>
      </c>
      <c r="AS5" s="51"/>
      <c r="AT5" s="50" t="s">
        <v>49</v>
      </c>
      <c r="AU5" s="175" t="s">
        <v>14</v>
      </c>
      <c r="AV5" s="1"/>
      <c r="AW5" s="51"/>
      <c r="AY5" s="88"/>
      <c r="AZ5" s="102" t="s">
        <v>15</v>
      </c>
      <c r="BA5" s="1" t="s">
        <v>12</v>
      </c>
      <c r="BB5" s="50" t="s">
        <v>14</v>
      </c>
      <c r="BC5" s="1" t="s">
        <v>12</v>
      </c>
      <c r="BD5" s="1" t="s">
        <v>14</v>
      </c>
      <c r="BE5" s="51"/>
      <c r="BF5" s="50" t="s">
        <v>14</v>
      </c>
      <c r="BG5" s="1" t="s">
        <v>49</v>
      </c>
      <c r="BH5" s="102" t="s">
        <v>50</v>
      </c>
      <c r="BI5" s="51"/>
      <c r="BJ5" s="78"/>
      <c r="BK5" s="15"/>
      <c r="BL5" s="15"/>
      <c r="BM5" s="15"/>
      <c r="BN5" s="79"/>
      <c r="BO5" s="50"/>
      <c r="BP5" s="1"/>
      <c r="BQ5" s="1"/>
      <c r="BR5" s="1"/>
      <c r="BS5" s="51"/>
      <c r="BT5" s="107"/>
      <c r="BU5" s="88"/>
      <c r="BV5" s="111" t="s">
        <v>48</v>
      </c>
      <c r="BW5" s="1"/>
      <c r="BX5" s="51"/>
      <c r="BY5" s="107"/>
      <c r="BZ5" s="88"/>
      <c r="CA5" s="111" t="s">
        <v>48</v>
      </c>
      <c r="CB5" s="1"/>
      <c r="CC5" s="51"/>
    </row>
    <row r="6" spans="1:81" s="4" customFormat="1" ht="13.2" x14ac:dyDescent="0.25">
      <c r="A6" s="27" t="s">
        <v>31</v>
      </c>
      <c r="B6" s="52" t="s">
        <v>12</v>
      </c>
      <c r="C6" s="3"/>
      <c r="D6" s="3"/>
      <c r="E6" s="53"/>
      <c r="F6" s="52" t="s">
        <v>14</v>
      </c>
      <c r="G6" s="3"/>
      <c r="H6" s="3"/>
      <c r="I6" s="53"/>
      <c r="J6" s="52" t="s">
        <v>14</v>
      </c>
      <c r="K6" s="3"/>
      <c r="L6" s="3"/>
      <c r="M6" s="53"/>
      <c r="N6" s="52" t="s">
        <v>14</v>
      </c>
      <c r="O6" s="3"/>
      <c r="P6" s="3"/>
      <c r="Q6" s="53"/>
      <c r="S6" s="3"/>
      <c r="T6" s="102" t="s">
        <v>15</v>
      </c>
      <c r="U6" s="53"/>
      <c r="V6" s="52" t="s">
        <v>14</v>
      </c>
      <c r="W6" s="3"/>
      <c r="X6" s="3"/>
      <c r="Y6" s="53"/>
      <c r="Z6" s="52" t="s">
        <v>12</v>
      </c>
      <c r="AA6" s="3"/>
      <c r="AB6" s="3"/>
      <c r="AC6" s="53"/>
      <c r="AD6" s="52" t="s">
        <v>14</v>
      </c>
      <c r="AE6" s="3"/>
      <c r="AF6" s="3"/>
      <c r="AG6" s="53"/>
      <c r="AH6" s="52" t="s">
        <v>14</v>
      </c>
      <c r="AI6" s="3"/>
      <c r="AJ6" s="3"/>
      <c r="AK6" s="53"/>
      <c r="AL6" s="52" t="s">
        <v>14</v>
      </c>
      <c r="AM6" s="3"/>
      <c r="AN6" s="3"/>
      <c r="AO6" s="53"/>
      <c r="AP6" s="52" t="s">
        <v>14</v>
      </c>
      <c r="AQ6" s="3"/>
      <c r="AR6" s="3"/>
      <c r="AS6" s="53"/>
      <c r="AU6" s="89"/>
      <c r="AW6" s="102" t="s">
        <v>15</v>
      </c>
      <c r="AX6" s="52" t="s">
        <v>14</v>
      </c>
      <c r="AY6" s="203"/>
      <c r="AZ6" s="3"/>
      <c r="BA6" s="53"/>
      <c r="BB6" s="102" t="s">
        <v>15</v>
      </c>
      <c r="BC6" s="3"/>
      <c r="BD6" s="3"/>
      <c r="BE6" s="53"/>
      <c r="BF6" s="52"/>
      <c r="BG6" s="3"/>
      <c r="BH6" s="3"/>
      <c r="BI6" s="53"/>
      <c r="BJ6" s="116"/>
      <c r="BK6" s="82"/>
      <c r="BL6" s="82"/>
      <c r="BM6" s="82"/>
      <c r="BN6" s="117"/>
      <c r="BO6" s="52"/>
      <c r="BP6" s="3"/>
      <c r="BQ6" s="3"/>
      <c r="BR6" s="3"/>
      <c r="BS6" s="53"/>
      <c r="BT6" s="108"/>
      <c r="BU6" s="89"/>
      <c r="BV6" s="111" t="s">
        <v>48</v>
      </c>
      <c r="BW6" s="3"/>
      <c r="BX6" s="53"/>
      <c r="BY6" s="108"/>
      <c r="BZ6" s="89"/>
      <c r="CA6" s="111" t="s">
        <v>48</v>
      </c>
      <c r="CB6" s="3"/>
      <c r="CC6" s="53"/>
    </row>
    <row r="7" spans="1:81" s="8" customFormat="1" ht="13.2" x14ac:dyDescent="0.25">
      <c r="A7" s="181" t="s">
        <v>65</v>
      </c>
      <c r="B7" s="54" t="s">
        <v>12</v>
      </c>
      <c r="C7" s="7" t="s">
        <v>14</v>
      </c>
      <c r="D7" s="7" t="s">
        <v>49</v>
      </c>
      <c r="E7" s="55"/>
      <c r="F7" s="54" t="s">
        <v>12</v>
      </c>
      <c r="G7" s="7" t="s">
        <v>14</v>
      </c>
      <c r="H7" s="7" t="s">
        <v>49</v>
      </c>
      <c r="I7" s="55"/>
      <c r="J7" s="54" t="s">
        <v>12</v>
      </c>
      <c r="K7" s="7" t="s">
        <v>49</v>
      </c>
      <c r="L7" s="7"/>
      <c r="M7" s="55"/>
      <c r="N7" s="54" t="s">
        <v>12</v>
      </c>
      <c r="O7" s="7" t="s">
        <v>14</v>
      </c>
      <c r="P7" s="7"/>
      <c r="Q7" s="55"/>
      <c r="R7" s="54" t="s">
        <v>12</v>
      </c>
      <c r="S7" s="62" t="s">
        <v>14</v>
      </c>
      <c r="T7" s="7"/>
      <c r="U7" s="55"/>
      <c r="V7" s="54" t="s">
        <v>12</v>
      </c>
      <c r="W7" s="7" t="s">
        <v>14</v>
      </c>
      <c r="X7" s="7" t="s">
        <v>49</v>
      </c>
      <c r="Y7" s="55"/>
      <c r="Z7" s="102" t="s">
        <v>15</v>
      </c>
      <c r="AA7" s="7" t="s">
        <v>12</v>
      </c>
      <c r="AB7" s="7" t="s">
        <v>14</v>
      </c>
      <c r="AC7" s="55"/>
      <c r="AD7" s="54" t="s">
        <v>12</v>
      </c>
      <c r="AE7" s="7" t="s">
        <v>14</v>
      </c>
      <c r="AF7" s="7"/>
      <c r="AG7" s="55"/>
      <c r="AH7" s="54" t="s">
        <v>12</v>
      </c>
      <c r="AI7" s="7" t="s">
        <v>14</v>
      </c>
      <c r="AJ7" s="7" t="s">
        <v>49</v>
      </c>
      <c r="AK7" s="55"/>
      <c r="AL7" s="54" t="s">
        <v>12</v>
      </c>
      <c r="AM7" s="7" t="s">
        <v>14</v>
      </c>
      <c r="AO7" s="55"/>
      <c r="AP7" s="54" t="s">
        <v>12</v>
      </c>
      <c r="AQ7" s="7" t="s">
        <v>14</v>
      </c>
      <c r="AR7" s="7"/>
      <c r="AS7" s="55"/>
      <c r="AT7" s="54" t="s">
        <v>13</v>
      </c>
      <c r="AU7" s="110" t="s">
        <v>12</v>
      </c>
      <c r="AV7" s="7" t="s">
        <v>49</v>
      </c>
      <c r="AW7" s="55"/>
      <c r="AX7" s="75" t="s">
        <v>15</v>
      </c>
      <c r="AY7" s="7" t="s">
        <v>13</v>
      </c>
      <c r="AZ7" s="7"/>
      <c r="BA7" s="55"/>
      <c r="BB7" s="54" t="s">
        <v>12</v>
      </c>
      <c r="BC7" s="7" t="s">
        <v>49</v>
      </c>
      <c r="BD7" s="7"/>
      <c r="BE7" s="55"/>
      <c r="BF7" s="54" t="s">
        <v>12</v>
      </c>
      <c r="BG7" s="7" t="s">
        <v>49</v>
      </c>
      <c r="BH7" s="7"/>
      <c r="BI7" s="55"/>
      <c r="BJ7" s="116"/>
      <c r="BK7" s="82"/>
      <c r="BL7" s="82"/>
      <c r="BM7" s="82"/>
      <c r="BN7" s="117"/>
      <c r="BO7" s="54"/>
      <c r="BP7" s="7"/>
      <c r="BQ7" s="7"/>
      <c r="BR7" s="7"/>
      <c r="BS7" s="105" t="s">
        <v>47</v>
      </c>
      <c r="BT7" s="54"/>
      <c r="BU7" s="110"/>
      <c r="BV7" s="7"/>
      <c r="BW7" s="7"/>
      <c r="BX7" s="105" t="s">
        <v>48</v>
      </c>
      <c r="BY7" s="54"/>
      <c r="BZ7" s="110"/>
      <c r="CA7" s="7"/>
      <c r="CB7" s="7"/>
      <c r="CC7" s="105" t="s">
        <v>48</v>
      </c>
    </row>
    <row r="8" spans="1:81" ht="13.2" x14ac:dyDescent="0.25">
      <c r="A8" s="12" t="s">
        <v>24</v>
      </c>
      <c r="B8" s="50" t="s">
        <v>12</v>
      </c>
      <c r="C8" s="1" t="s">
        <v>13</v>
      </c>
      <c r="D8" s="1"/>
      <c r="E8" s="51"/>
      <c r="F8" s="83" t="s">
        <v>13</v>
      </c>
      <c r="G8" s="1" t="s">
        <v>12</v>
      </c>
      <c r="H8" s="1" t="s">
        <v>14</v>
      </c>
      <c r="I8" s="51"/>
      <c r="J8" s="50" t="s">
        <v>12</v>
      </c>
      <c r="K8" s="1" t="s">
        <v>18</v>
      </c>
      <c r="L8" s="1" t="s">
        <v>12</v>
      </c>
      <c r="M8" s="51"/>
      <c r="N8" s="50" t="s">
        <v>14</v>
      </c>
      <c r="O8" s="1" t="s">
        <v>14</v>
      </c>
      <c r="P8" s="1"/>
      <c r="Q8" s="51"/>
      <c r="R8" s="50" t="s">
        <v>14</v>
      </c>
      <c r="S8" s="1" t="s">
        <v>49</v>
      </c>
      <c r="T8" s="1"/>
      <c r="U8" s="51"/>
      <c r="V8" s="201"/>
      <c r="W8" s="1"/>
      <c r="X8" s="1"/>
      <c r="Y8" s="202" t="s">
        <v>15</v>
      </c>
      <c r="Z8" s="50" t="s">
        <v>12</v>
      </c>
      <c r="AA8" s="1" t="s">
        <v>13</v>
      </c>
      <c r="AB8" s="1"/>
      <c r="AC8" s="51"/>
      <c r="AD8" s="83" t="s">
        <v>13</v>
      </c>
      <c r="AE8" s="1" t="s">
        <v>12</v>
      </c>
      <c r="AF8" s="1"/>
      <c r="AG8" s="51"/>
      <c r="AH8" s="50" t="s">
        <v>14</v>
      </c>
      <c r="AI8" s="1" t="s">
        <v>49</v>
      </c>
      <c r="AJ8" s="1" t="s">
        <v>49</v>
      </c>
      <c r="AK8" s="51"/>
      <c r="AL8" s="50" t="s">
        <v>12</v>
      </c>
      <c r="AM8" s="1" t="s">
        <v>49</v>
      </c>
      <c r="AN8" s="1" t="s">
        <v>49</v>
      </c>
      <c r="AO8" s="51"/>
      <c r="AP8" s="50" t="s">
        <v>12</v>
      </c>
      <c r="AQ8" s="1" t="s">
        <v>14</v>
      </c>
      <c r="AR8" s="1"/>
      <c r="AS8" s="51"/>
      <c r="AT8" s="102" t="s">
        <v>15</v>
      </c>
      <c r="AU8" s="1" t="s">
        <v>12</v>
      </c>
      <c r="AV8" s="1"/>
      <c r="AW8" s="51"/>
      <c r="AX8" s="50" t="s">
        <v>49</v>
      </c>
      <c r="AY8" s="1" t="s">
        <v>12</v>
      </c>
      <c r="AZ8" s="1"/>
      <c r="BA8" s="51"/>
      <c r="BB8" s="50" t="s">
        <v>49</v>
      </c>
      <c r="BC8" s="1" t="s">
        <v>49</v>
      </c>
      <c r="BD8" s="1"/>
      <c r="BE8" s="51"/>
      <c r="BF8" s="149" t="s">
        <v>16</v>
      </c>
      <c r="BG8" s="1"/>
      <c r="BH8" s="1"/>
      <c r="BI8" s="51"/>
      <c r="BJ8" s="167"/>
      <c r="BK8" s="14"/>
      <c r="BL8" s="14"/>
      <c r="BM8" s="14"/>
      <c r="BN8" s="34"/>
      <c r="BO8" s="50"/>
      <c r="BP8" s="1"/>
      <c r="BQ8" s="1"/>
      <c r="BR8" s="1"/>
      <c r="BS8" s="51"/>
      <c r="BT8" s="50"/>
      <c r="BU8" s="1"/>
      <c r="BV8" s="1"/>
      <c r="BW8" s="113" t="s">
        <v>48</v>
      </c>
      <c r="BX8" s="51"/>
      <c r="BY8" s="50"/>
      <c r="BZ8" s="1"/>
      <c r="CA8" s="1"/>
      <c r="CB8" s="113" t="s">
        <v>48</v>
      </c>
      <c r="CC8" s="51"/>
    </row>
    <row r="9" spans="1:81" ht="13.8" thickBot="1" x14ac:dyDescent="0.3">
      <c r="A9" s="25" t="s">
        <v>41</v>
      </c>
      <c r="B9" s="56" t="s">
        <v>12</v>
      </c>
      <c r="C9" s="57" t="s">
        <v>12</v>
      </c>
      <c r="D9" s="57"/>
      <c r="E9" s="58"/>
      <c r="F9" s="56" t="s">
        <v>12</v>
      </c>
      <c r="G9" s="57" t="s">
        <v>14</v>
      </c>
      <c r="H9" s="57"/>
      <c r="I9" s="58"/>
      <c r="J9" s="56" t="s">
        <v>13</v>
      </c>
      <c r="K9" s="57" t="s">
        <v>12</v>
      </c>
      <c r="L9" s="57"/>
      <c r="M9" s="58"/>
      <c r="N9" s="56" t="s">
        <v>49</v>
      </c>
      <c r="O9" s="57" t="s">
        <v>49</v>
      </c>
      <c r="P9" s="266"/>
      <c r="Q9" s="58"/>
      <c r="R9" s="267" t="s">
        <v>15</v>
      </c>
      <c r="S9" s="268" t="s">
        <v>12</v>
      </c>
      <c r="T9" s="57" t="s">
        <v>12</v>
      </c>
      <c r="U9" s="58"/>
      <c r="V9" s="56" t="s">
        <v>14</v>
      </c>
      <c r="W9" s="57" t="s">
        <v>49</v>
      </c>
      <c r="X9" s="57"/>
      <c r="Y9" s="58"/>
      <c r="Z9" s="56" t="s">
        <v>12</v>
      </c>
      <c r="AA9" s="57" t="s">
        <v>14</v>
      </c>
      <c r="AB9" s="57"/>
      <c r="AC9" s="58"/>
      <c r="AD9" s="56" t="s">
        <v>49</v>
      </c>
      <c r="AE9" s="57" t="s">
        <v>13</v>
      </c>
      <c r="AF9" s="57"/>
      <c r="AG9" s="58"/>
      <c r="AH9" s="56" t="s">
        <v>12</v>
      </c>
      <c r="AI9" s="57" t="s">
        <v>49</v>
      </c>
      <c r="AJ9" s="57"/>
      <c r="AK9" s="58"/>
      <c r="AL9" s="56" t="s">
        <v>12</v>
      </c>
      <c r="AM9" s="57" t="s">
        <v>49</v>
      </c>
      <c r="AN9" s="57"/>
      <c r="AO9" s="58"/>
      <c r="AP9" s="56" t="s">
        <v>12</v>
      </c>
      <c r="AQ9" s="252" t="s">
        <v>14</v>
      </c>
      <c r="AR9" s="57" t="s">
        <v>14</v>
      </c>
      <c r="AS9" s="269" t="s">
        <v>15</v>
      </c>
      <c r="AT9" s="56" t="s">
        <v>13</v>
      </c>
      <c r="AU9" s="57"/>
      <c r="AV9" s="57"/>
      <c r="AW9" s="58"/>
      <c r="AX9" s="56" t="s">
        <v>49</v>
      </c>
      <c r="AY9" s="57" t="s">
        <v>12</v>
      </c>
      <c r="AZ9" s="57"/>
      <c r="BA9" s="58"/>
      <c r="BB9" s="56" t="s">
        <v>49</v>
      </c>
      <c r="BC9" s="57" t="s">
        <v>13</v>
      </c>
      <c r="BD9" s="57"/>
      <c r="BE9" s="58"/>
      <c r="BF9" s="270" t="s">
        <v>49</v>
      </c>
      <c r="BG9" s="271" t="s">
        <v>13</v>
      </c>
      <c r="BH9" s="57"/>
      <c r="BI9" s="58"/>
      <c r="BJ9" s="39"/>
      <c r="BK9" s="40"/>
      <c r="BL9" s="40"/>
      <c r="BM9" s="40"/>
      <c r="BN9" s="41"/>
      <c r="BO9" s="56"/>
      <c r="BP9" s="106" t="s">
        <v>47</v>
      </c>
      <c r="BQ9" s="57"/>
      <c r="BR9" s="57"/>
      <c r="BS9" s="58"/>
      <c r="BT9" s="56"/>
      <c r="BU9" s="106" t="s">
        <v>48</v>
      </c>
      <c r="BV9" s="57"/>
      <c r="BW9" s="57"/>
      <c r="BX9" s="58"/>
      <c r="BY9" s="56"/>
      <c r="BZ9" s="106" t="s">
        <v>48</v>
      </c>
      <c r="CA9" s="57"/>
      <c r="CB9" s="57"/>
      <c r="CC9" s="58"/>
    </row>
    <row r="10" spans="1:81" ht="13.2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</row>
    <row r="11" spans="1:81" ht="13.2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0"/>
      <c r="BK11" s="20"/>
      <c r="BL11" s="20"/>
      <c r="BM11" s="20"/>
      <c r="BN11" s="20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</row>
    <row r="12" spans="1:81" ht="13.2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</row>
    <row r="13" spans="1:81" ht="13.2" x14ac:dyDescent="0.25">
      <c r="A13" s="171" t="s">
        <v>0</v>
      </c>
      <c r="B13" s="101" t="s">
        <v>17</v>
      </c>
      <c r="C13" s="101" t="s">
        <v>12</v>
      </c>
      <c r="D13" s="101" t="s">
        <v>14</v>
      </c>
      <c r="E13" s="101" t="s">
        <v>13</v>
      </c>
      <c r="F13" s="101" t="s">
        <v>49</v>
      </c>
      <c r="G13" s="101" t="s">
        <v>16</v>
      </c>
      <c r="H13" s="101" t="s">
        <v>18</v>
      </c>
      <c r="I13" s="101" t="s">
        <v>15</v>
      </c>
      <c r="J13" s="101" t="s">
        <v>50</v>
      </c>
      <c r="K13" s="101" t="s">
        <v>19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 t="s">
        <v>53</v>
      </c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</row>
    <row r="14" spans="1:81" ht="13.2" x14ac:dyDescent="0.25">
      <c r="A14" s="61" t="s">
        <v>25</v>
      </c>
      <c r="B14" s="11">
        <f t="shared" ref="B14:B19" si="0">SUM(C14:J14)</f>
        <v>56</v>
      </c>
      <c r="C14" s="11">
        <f t="shared" ref="C14:J14" si="1">COUNTIF($B4:$BI4,C$13)*2</f>
        <v>28</v>
      </c>
      <c r="D14" s="11">
        <f t="shared" si="1"/>
        <v>0</v>
      </c>
      <c r="E14" s="11">
        <f t="shared" si="1"/>
        <v>14</v>
      </c>
      <c r="F14" s="11">
        <f t="shared" si="1"/>
        <v>0</v>
      </c>
      <c r="G14" s="11">
        <f t="shared" si="1"/>
        <v>0</v>
      </c>
      <c r="H14" s="11">
        <f t="shared" si="1"/>
        <v>14</v>
      </c>
      <c r="I14" s="11">
        <f t="shared" si="1"/>
        <v>0</v>
      </c>
      <c r="J14" s="11">
        <f t="shared" si="1"/>
        <v>0</v>
      </c>
      <c r="K14" s="174">
        <f>C14/B14</f>
        <v>0.5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</row>
    <row r="15" spans="1:81" ht="13.2" x14ac:dyDescent="0.25">
      <c r="A15" s="61" t="s">
        <v>21</v>
      </c>
      <c r="B15" s="11">
        <f t="shared" si="0"/>
        <v>80</v>
      </c>
      <c r="C15" s="11">
        <f>COUNTIF($B5:$BI5,C$13)*2</f>
        <v>26</v>
      </c>
      <c r="D15" s="11">
        <f t="shared" ref="C15:J19" si="2">COUNTIF($B5:$BI5,D$13)*2</f>
        <v>40</v>
      </c>
      <c r="E15" s="11">
        <f t="shared" si="2"/>
        <v>0</v>
      </c>
      <c r="F15" s="11">
        <f t="shared" si="2"/>
        <v>8</v>
      </c>
      <c r="G15" s="11">
        <f t="shared" si="2"/>
        <v>0</v>
      </c>
      <c r="H15" s="11">
        <f t="shared" si="2"/>
        <v>0</v>
      </c>
      <c r="I15" s="11">
        <f t="shared" si="2"/>
        <v>4</v>
      </c>
      <c r="J15" s="11">
        <f t="shared" si="2"/>
        <v>2</v>
      </c>
      <c r="K15" s="174">
        <f t="shared" ref="K15:K19" si="3">C15/B15</f>
        <v>0.32500000000000001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</row>
    <row r="16" spans="1:81" ht="13.2" x14ac:dyDescent="0.25">
      <c r="A16" s="61" t="s">
        <v>22</v>
      </c>
      <c r="B16" s="11">
        <f t="shared" si="0"/>
        <v>28</v>
      </c>
      <c r="C16" s="11">
        <f t="shared" si="2"/>
        <v>4</v>
      </c>
      <c r="D16" s="11">
        <f t="shared" si="2"/>
        <v>18</v>
      </c>
      <c r="E16" s="11">
        <f t="shared" si="2"/>
        <v>0</v>
      </c>
      <c r="F16" s="11">
        <f t="shared" si="2"/>
        <v>0</v>
      </c>
      <c r="G16" s="11">
        <f t="shared" si="2"/>
        <v>0</v>
      </c>
      <c r="H16" s="11">
        <f t="shared" si="2"/>
        <v>0</v>
      </c>
      <c r="I16" s="11">
        <f t="shared" si="2"/>
        <v>6</v>
      </c>
      <c r="J16" s="11">
        <f t="shared" si="2"/>
        <v>0</v>
      </c>
      <c r="K16" s="174">
        <f t="shared" si="3"/>
        <v>0.14285714285714285</v>
      </c>
      <c r="L16" s="2"/>
      <c r="M16" s="2"/>
      <c r="N16" s="2"/>
      <c r="O16" s="2"/>
      <c r="P16" s="2"/>
      <c r="Q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</row>
    <row r="17" spans="1:81" ht="13.2" x14ac:dyDescent="0.25">
      <c r="A17" s="61" t="s">
        <v>23</v>
      </c>
      <c r="B17" s="11">
        <f t="shared" si="0"/>
        <v>72</v>
      </c>
      <c r="C17" s="11">
        <f t="shared" si="2"/>
        <v>28</v>
      </c>
      <c r="D17" s="11">
        <f t="shared" si="2"/>
        <v>20</v>
      </c>
      <c r="E17" s="11">
        <f t="shared" si="2"/>
        <v>4</v>
      </c>
      <c r="F17" s="11">
        <f t="shared" si="2"/>
        <v>16</v>
      </c>
      <c r="G17" s="11">
        <f t="shared" si="2"/>
        <v>0</v>
      </c>
      <c r="H17" s="11">
        <f t="shared" si="2"/>
        <v>0</v>
      </c>
      <c r="I17" s="11">
        <f t="shared" si="2"/>
        <v>4</v>
      </c>
      <c r="J17" s="11">
        <f t="shared" si="2"/>
        <v>0</v>
      </c>
      <c r="K17" s="174">
        <f t="shared" si="3"/>
        <v>0.3888888888888889</v>
      </c>
      <c r="L17" s="2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</row>
    <row r="18" spans="1:81" ht="13.2" x14ac:dyDescent="0.25">
      <c r="A18" s="61" t="s">
        <v>26</v>
      </c>
      <c r="B18" s="11">
        <f t="shared" si="0"/>
        <v>64</v>
      </c>
      <c r="C18" s="11">
        <f t="shared" si="2"/>
        <v>20</v>
      </c>
      <c r="D18" s="11">
        <f t="shared" si="2"/>
        <v>12</v>
      </c>
      <c r="E18" s="11">
        <f t="shared" si="2"/>
        <v>8</v>
      </c>
      <c r="F18" s="11">
        <f t="shared" si="2"/>
        <v>16</v>
      </c>
      <c r="G18" s="11">
        <f t="shared" si="2"/>
        <v>2</v>
      </c>
      <c r="H18" s="11">
        <f t="shared" si="2"/>
        <v>2</v>
      </c>
      <c r="I18" s="11">
        <f t="shared" si="2"/>
        <v>4</v>
      </c>
      <c r="J18" s="11">
        <f t="shared" si="2"/>
        <v>0</v>
      </c>
      <c r="K18" s="174">
        <f t="shared" si="3"/>
        <v>0.3125</v>
      </c>
      <c r="L18" s="2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</row>
    <row r="19" spans="1:81" ht="13.2" x14ac:dyDescent="0.25">
      <c r="A19" s="61" t="s">
        <v>27</v>
      </c>
      <c r="B19" s="11">
        <f t="shared" si="0"/>
        <v>64</v>
      </c>
      <c r="C19" s="11">
        <f t="shared" si="2"/>
        <v>22</v>
      </c>
      <c r="D19" s="11">
        <f t="shared" si="2"/>
        <v>10</v>
      </c>
      <c r="E19" s="11">
        <f t="shared" si="2"/>
        <v>10</v>
      </c>
      <c r="F19" s="11">
        <f t="shared" si="2"/>
        <v>18</v>
      </c>
      <c r="G19" s="11">
        <f t="shared" si="2"/>
        <v>0</v>
      </c>
      <c r="H19" s="11">
        <f t="shared" si="2"/>
        <v>0</v>
      </c>
      <c r="I19" s="11">
        <f t="shared" si="2"/>
        <v>4</v>
      </c>
      <c r="J19" s="11">
        <f t="shared" si="2"/>
        <v>0</v>
      </c>
      <c r="K19" s="174">
        <f t="shared" si="3"/>
        <v>0.34375</v>
      </c>
      <c r="L19" s="1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O19" s="2"/>
      <c r="BP19" s="2"/>
      <c r="BQ19" s="2"/>
      <c r="BR19" s="2"/>
      <c r="BS19" s="2"/>
      <c r="BT19" s="2"/>
      <c r="BU19" s="2" t="s">
        <v>53</v>
      </c>
      <c r="BV19" s="2"/>
      <c r="BW19" s="2"/>
      <c r="BX19" s="2"/>
      <c r="BY19" s="2"/>
      <c r="BZ19" s="2"/>
      <c r="CA19" s="2"/>
      <c r="CB19" s="2"/>
    </row>
    <row r="20" spans="1:81" ht="13.2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</row>
    <row r="21" spans="1:81" ht="13.2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</row>
    <row r="22" spans="1:81" ht="13.2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</row>
    <row r="23" spans="1:81" ht="13.2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</row>
    <row r="24" spans="1:81" ht="13.2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</row>
    <row r="25" spans="1:81" ht="13.2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</row>
    <row r="26" spans="1:81" ht="13.2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</row>
    <row r="27" spans="1:81" ht="13.2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</row>
    <row r="28" spans="1:81" ht="13.2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</row>
    <row r="29" spans="1:81" ht="13.2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</row>
    <row r="30" spans="1:81" ht="13.2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</row>
    <row r="31" spans="1:81" ht="13.2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</row>
    <row r="32" spans="1:81" ht="13.2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</row>
    <row r="33" spans="2:81" ht="13.2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</row>
    <row r="34" spans="2:81" ht="13.2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</row>
    <row r="35" spans="2:81" ht="13.2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</row>
    <row r="36" spans="2:81" ht="13.2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</row>
    <row r="37" spans="2:81" ht="13.2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</row>
    <row r="38" spans="2:81" ht="13.2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</row>
    <row r="39" spans="2:81" ht="13.2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</row>
    <row r="40" spans="2:81" ht="13.2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</row>
    <row r="41" spans="2:81" ht="13.2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</row>
    <row r="42" spans="2:81" ht="13.2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</row>
    <row r="43" spans="2:81" ht="13.2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</row>
    <row r="44" spans="2:81" ht="13.2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</row>
    <row r="45" spans="2:81" ht="13.2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</row>
    <row r="46" spans="2:81" ht="13.2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</row>
    <row r="47" spans="2:81" ht="13.2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</row>
    <row r="48" spans="2:81" ht="13.2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</row>
    <row r="49" spans="2:81" ht="13.2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</row>
    <row r="50" spans="2:81" ht="13.2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</row>
    <row r="51" spans="2:81" ht="13.2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</row>
    <row r="52" spans="2:81" ht="13.2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</row>
    <row r="53" spans="2:81" ht="13.2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</row>
    <row r="54" spans="2:81" ht="13.2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</row>
    <row r="55" spans="2:81" ht="13.2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</row>
    <row r="56" spans="2:81" ht="13.2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</row>
    <row r="57" spans="2:81" ht="13.2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</row>
    <row r="58" spans="2:81" ht="13.2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</row>
    <row r="59" spans="2:81" ht="13.2" x14ac:dyDescent="0.2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</row>
    <row r="60" spans="2:81" ht="13.2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</row>
    <row r="61" spans="2:81" ht="13.2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</row>
    <row r="62" spans="2:81" ht="13.2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</row>
    <row r="63" spans="2:81" ht="13.2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</row>
    <row r="64" spans="2:81" ht="13.2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</row>
    <row r="65" spans="2:81" ht="13.2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</row>
    <row r="66" spans="2:81" ht="13.2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</row>
    <row r="67" spans="2:81" ht="13.2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</row>
    <row r="68" spans="2:81" ht="13.2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</row>
    <row r="69" spans="2:81" ht="13.2" x14ac:dyDescent="0.2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</row>
    <row r="70" spans="2:81" ht="13.2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</row>
    <row r="71" spans="2:81" ht="13.2" x14ac:dyDescent="0.2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</row>
    <row r="72" spans="2:81" ht="13.2" x14ac:dyDescent="0.2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</row>
    <row r="73" spans="2:81" ht="13.2" x14ac:dyDescent="0.2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</row>
    <row r="74" spans="2:81" ht="13.2" x14ac:dyDescent="0.2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</row>
    <row r="75" spans="2:81" ht="13.2" x14ac:dyDescent="0.2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</row>
    <row r="76" spans="2:81" ht="13.2" x14ac:dyDescent="0.2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</row>
    <row r="77" spans="2:81" ht="13.2" x14ac:dyDescent="0.2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 spans="2:81" ht="13.2" x14ac:dyDescent="0.2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spans="2:81" ht="13.2" x14ac:dyDescent="0.2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 spans="2:81" ht="13.2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 spans="2:81" ht="13.2" x14ac:dyDescent="0.2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 spans="2:81" ht="13.2" x14ac:dyDescent="0.2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</row>
    <row r="83" spans="2:81" ht="13.2" x14ac:dyDescent="0.2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</row>
    <row r="84" spans="2:81" ht="13.2" x14ac:dyDescent="0.2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</row>
    <row r="85" spans="2:81" ht="13.2" x14ac:dyDescent="0.2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</row>
    <row r="86" spans="2:81" ht="13.2" x14ac:dyDescent="0.2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</row>
    <row r="87" spans="2:81" ht="13.2" x14ac:dyDescent="0.2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</row>
    <row r="88" spans="2:81" ht="13.2" x14ac:dyDescent="0.2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</row>
    <row r="89" spans="2:81" ht="13.2" x14ac:dyDescent="0.2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</row>
    <row r="90" spans="2:81" ht="13.2" x14ac:dyDescent="0.2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</row>
    <row r="91" spans="2:81" ht="13.2" x14ac:dyDescent="0.2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</row>
    <row r="92" spans="2:81" ht="13.2" x14ac:dyDescent="0.2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</row>
    <row r="93" spans="2:81" ht="13.2" x14ac:dyDescent="0.2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</row>
    <row r="94" spans="2:81" ht="13.2" x14ac:dyDescent="0.2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</row>
    <row r="95" spans="2:81" ht="13.2" x14ac:dyDescent="0.2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</row>
    <row r="96" spans="2:81" ht="13.2" x14ac:dyDescent="0.2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</row>
    <row r="97" spans="2:81" ht="13.2" x14ac:dyDescent="0.2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</row>
    <row r="98" spans="2:81" ht="13.2" x14ac:dyDescent="0.2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</row>
    <row r="99" spans="2:81" ht="13.2" x14ac:dyDescent="0.2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</row>
    <row r="100" spans="2:81" ht="13.2" x14ac:dyDescent="0.2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</row>
    <row r="101" spans="2:81" ht="13.2" x14ac:dyDescent="0.2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</row>
    <row r="102" spans="2:81" ht="13.2" x14ac:dyDescent="0.2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</row>
    <row r="103" spans="2:81" ht="13.2" x14ac:dyDescent="0.2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</row>
    <row r="104" spans="2:81" ht="13.2" x14ac:dyDescent="0.2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</row>
    <row r="105" spans="2:81" ht="13.2" x14ac:dyDescent="0.2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</row>
    <row r="106" spans="2:81" ht="13.2" x14ac:dyDescent="0.2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</row>
    <row r="107" spans="2:81" ht="13.2" x14ac:dyDescent="0.2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</row>
    <row r="108" spans="2:81" ht="13.2" x14ac:dyDescent="0.2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</row>
    <row r="109" spans="2:81" ht="13.2" x14ac:dyDescent="0.2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</row>
    <row r="110" spans="2:81" ht="13.2" x14ac:dyDescent="0.2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</row>
    <row r="111" spans="2:81" ht="13.2" x14ac:dyDescent="0.2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</row>
    <row r="112" spans="2:81" ht="13.2" x14ac:dyDescent="0.2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</row>
    <row r="113" spans="2:81" ht="13.2" x14ac:dyDescent="0.2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</row>
    <row r="114" spans="2:81" ht="13.2" x14ac:dyDescent="0.2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</row>
    <row r="115" spans="2:81" ht="13.2" x14ac:dyDescent="0.2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</row>
    <row r="116" spans="2:81" ht="13.2" x14ac:dyDescent="0.2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</row>
    <row r="117" spans="2:81" ht="13.2" x14ac:dyDescent="0.2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</row>
    <row r="118" spans="2:81" ht="13.2" x14ac:dyDescent="0.2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</row>
    <row r="119" spans="2:81" ht="13.2" x14ac:dyDescent="0.2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</row>
    <row r="120" spans="2:81" ht="13.2" x14ac:dyDescent="0.2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</row>
    <row r="121" spans="2:81" ht="13.2" x14ac:dyDescent="0.2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</row>
    <row r="122" spans="2:81" ht="13.2" x14ac:dyDescent="0.2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</row>
    <row r="123" spans="2:81" ht="13.2" x14ac:dyDescent="0.2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</row>
    <row r="124" spans="2:81" ht="13.2" x14ac:dyDescent="0.2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</row>
    <row r="125" spans="2:81" ht="13.2" x14ac:dyDescent="0.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</row>
    <row r="126" spans="2:81" ht="13.2" x14ac:dyDescent="0.2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</row>
    <row r="127" spans="2:81" ht="13.2" x14ac:dyDescent="0.2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</row>
    <row r="128" spans="2:81" ht="13.2" x14ac:dyDescent="0.2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</row>
    <row r="129" spans="2:81" ht="13.2" x14ac:dyDescent="0.2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</row>
    <row r="130" spans="2:81" ht="13.2" x14ac:dyDescent="0.2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</row>
    <row r="131" spans="2:81" ht="13.2" x14ac:dyDescent="0.2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</row>
    <row r="132" spans="2:81" ht="13.2" x14ac:dyDescent="0.2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</row>
    <row r="133" spans="2:81" ht="13.2" x14ac:dyDescent="0.2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</row>
    <row r="134" spans="2:81" ht="13.2" x14ac:dyDescent="0.2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</row>
    <row r="135" spans="2:81" ht="13.2" x14ac:dyDescent="0.2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</row>
    <row r="136" spans="2:81" ht="13.2" x14ac:dyDescent="0.2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</row>
    <row r="137" spans="2:81" ht="13.2" x14ac:dyDescent="0.2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</row>
    <row r="138" spans="2:81" ht="13.2" x14ac:dyDescent="0.2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</row>
    <row r="139" spans="2:81" ht="13.2" x14ac:dyDescent="0.2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</row>
    <row r="140" spans="2:81" ht="13.2" x14ac:dyDescent="0.2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</row>
    <row r="141" spans="2:81" ht="13.2" x14ac:dyDescent="0.2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</row>
    <row r="142" spans="2:81" ht="13.2" x14ac:dyDescent="0.2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</row>
    <row r="143" spans="2:81" ht="13.2" x14ac:dyDescent="0.2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</row>
    <row r="144" spans="2:81" ht="13.2" x14ac:dyDescent="0.2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</row>
    <row r="145" spans="2:81" ht="13.2" x14ac:dyDescent="0.2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</row>
    <row r="146" spans="2:81" ht="13.2" x14ac:dyDescent="0.2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</row>
    <row r="147" spans="2:81" ht="13.2" x14ac:dyDescent="0.2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</row>
    <row r="148" spans="2:81" ht="13.2" x14ac:dyDescent="0.2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</row>
    <row r="149" spans="2:81" ht="13.2" x14ac:dyDescent="0.2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</row>
    <row r="150" spans="2:81" ht="13.2" x14ac:dyDescent="0.2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</row>
    <row r="151" spans="2:81" ht="13.2" x14ac:dyDescent="0.2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</row>
    <row r="152" spans="2:81" ht="13.2" x14ac:dyDescent="0.2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</row>
    <row r="153" spans="2:81" ht="13.2" x14ac:dyDescent="0.2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</row>
    <row r="154" spans="2:81" ht="13.2" x14ac:dyDescent="0.2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</row>
    <row r="155" spans="2:81" ht="13.2" x14ac:dyDescent="0.2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</row>
    <row r="156" spans="2:81" ht="13.2" x14ac:dyDescent="0.2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</row>
    <row r="157" spans="2:81" ht="13.2" x14ac:dyDescent="0.2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</row>
    <row r="158" spans="2:81" ht="13.2" x14ac:dyDescent="0.2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</row>
    <row r="159" spans="2:81" ht="13.2" x14ac:dyDescent="0.2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</row>
    <row r="160" spans="2:81" ht="13.2" x14ac:dyDescent="0.2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</row>
    <row r="161" spans="2:81" ht="13.2" x14ac:dyDescent="0.2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</row>
    <row r="162" spans="2:81" ht="13.2" x14ac:dyDescent="0.2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</row>
    <row r="163" spans="2:81" ht="13.2" x14ac:dyDescent="0.2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</row>
    <row r="164" spans="2:81" ht="13.2" x14ac:dyDescent="0.2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</row>
    <row r="165" spans="2:81" ht="13.2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</row>
    <row r="166" spans="2:81" ht="13.2" x14ac:dyDescent="0.2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</row>
    <row r="167" spans="2:81" ht="13.2" x14ac:dyDescent="0.2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</row>
    <row r="168" spans="2:81" ht="13.2" x14ac:dyDescent="0.2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</row>
    <row r="169" spans="2:81" ht="13.2" x14ac:dyDescent="0.2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</row>
    <row r="170" spans="2:81" ht="13.2" x14ac:dyDescent="0.2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</row>
    <row r="171" spans="2:81" ht="13.2" x14ac:dyDescent="0.2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</row>
    <row r="172" spans="2:81" ht="13.2" x14ac:dyDescent="0.2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</row>
    <row r="173" spans="2:81" ht="13.2" x14ac:dyDescent="0.2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</row>
    <row r="174" spans="2:81" ht="13.2" x14ac:dyDescent="0.2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</row>
    <row r="175" spans="2:81" ht="13.2" x14ac:dyDescent="0.2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</row>
    <row r="176" spans="2:81" ht="13.2" x14ac:dyDescent="0.2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</row>
    <row r="177" spans="2:81" ht="13.2" x14ac:dyDescent="0.2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</row>
    <row r="178" spans="2:81" ht="13.2" x14ac:dyDescent="0.2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</row>
    <row r="179" spans="2:81" ht="13.2" x14ac:dyDescent="0.2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</row>
    <row r="180" spans="2:81" ht="13.2" x14ac:dyDescent="0.2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</row>
    <row r="181" spans="2:81" ht="13.2" x14ac:dyDescent="0.2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</row>
    <row r="182" spans="2:81" ht="13.2" x14ac:dyDescent="0.2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</row>
    <row r="183" spans="2:81" ht="13.2" x14ac:dyDescent="0.2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</row>
    <row r="184" spans="2:81" ht="13.2" x14ac:dyDescent="0.2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</row>
    <row r="185" spans="2:81" ht="13.2" x14ac:dyDescent="0.2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</row>
    <row r="186" spans="2:81" ht="13.2" x14ac:dyDescent="0.2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</row>
    <row r="187" spans="2:81" ht="13.2" x14ac:dyDescent="0.2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</row>
    <row r="188" spans="2:81" ht="13.2" x14ac:dyDescent="0.2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</row>
    <row r="189" spans="2:81" ht="13.2" x14ac:dyDescent="0.2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</row>
    <row r="190" spans="2:81" ht="13.2" x14ac:dyDescent="0.2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</row>
    <row r="191" spans="2:81" ht="13.2" x14ac:dyDescent="0.2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</row>
    <row r="192" spans="2:81" ht="13.2" x14ac:dyDescent="0.2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</row>
    <row r="193" spans="2:81" ht="13.2" x14ac:dyDescent="0.2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</row>
    <row r="194" spans="2:81" ht="13.2" x14ac:dyDescent="0.2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</row>
    <row r="195" spans="2:81" ht="13.2" x14ac:dyDescent="0.2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</row>
    <row r="196" spans="2:81" ht="13.2" x14ac:dyDescent="0.2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</row>
    <row r="197" spans="2:81" ht="13.2" x14ac:dyDescent="0.2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</row>
    <row r="198" spans="2:81" ht="13.2" x14ac:dyDescent="0.2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</row>
    <row r="199" spans="2:81" ht="13.2" x14ac:dyDescent="0.2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</row>
    <row r="200" spans="2:81" ht="13.2" x14ac:dyDescent="0.2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</row>
    <row r="201" spans="2:81" ht="13.2" x14ac:dyDescent="0.2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</row>
    <row r="202" spans="2:81" ht="13.2" x14ac:dyDescent="0.2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</row>
    <row r="203" spans="2:81" ht="13.2" x14ac:dyDescent="0.2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</row>
    <row r="204" spans="2:81" ht="13.2" x14ac:dyDescent="0.2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</row>
    <row r="205" spans="2:81" ht="13.2" x14ac:dyDescent="0.2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</row>
    <row r="206" spans="2:81" ht="13.2" x14ac:dyDescent="0.2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</row>
    <row r="207" spans="2:81" ht="13.2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</row>
    <row r="208" spans="2:81" ht="13.2" x14ac:dyDescent="0.2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</row>
    <row r="209" spans="2:81" ht="13.2" x14ac:dyDescent="0.2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</row>
    <row r="210" spans="2:81" ht="13.2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</row>
    <row r="211" spans="2:81" ht="13.2" x14ac:dyDescent="0.2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</row>
    <row r="212" spans="2:81" ht="13.2" x14ac:dyDescent="0.2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</row>
    <row r="213" spans="2:81" ht="13.2" x14ac:dyDescent="0.2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</row>
    <row r="214" spans="2:81" ht="13.2" x14ac:dyDescent="0.2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</row>
    <row r="215" spans="2:81" ht="13.2" x14ac:dyDescent="0.2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</row>
    <row r="216" spans="2:81" ht="13.2" x14ac:dyDescent="0.2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</row>
    <row r="217" spans="2:81" ht="13.2" x14ac:dyDescent="0.2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</row>
    <row r="218" spans="2:81" ht="13.2" x14ac:dyDescent="0.2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</row>
    <row r="219" spans="2:81" ht="13.2" x14ac:dyDescent="0.2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</row>
    <row r="220" spans="2:81" ht="13.2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</row>
    <row r="221" spans="2:81" ht="13.2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</row>
    <row r="222" spans="2:81" ht="13.2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</row>
    <row r="223" spans="2:81" ht="13.2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</row>
    <row r="224" spans="2:81" ht="13.2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</row>
    <row r="225" spans="2:81" ht="13.2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</row>
    <row r="226" spans="2:81" ht="13.2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</row>
    <row r="227" spans="2:81" ht="13.2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</row>
    <row r="228" spans="2:81" ht="13.2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</row>
    <row r="229" spans="2:81" ht="13.2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</row>
    <row r="230" spans="2:81" ht="13.2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</row>
    <row r="231" spans="2:81" ht="13.2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</row>
    <row r="232" spans="2:81" ht="13.2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</row>
    <row r="233" spans="2:81" ht="13.2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</row>
    <row r="234" spans="2:81" ht="13.2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</row>
    <row r="235" spans="2:81" ht="13.2" x14ac:dyDescent="0.2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</row>
    <row r="236" spans="2:81" ht="13.2" x14ac:dyDescent="0.2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</row>
    <row r="237" spans="2:81" ht="13.2" x14ac:dyDescent="0.2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</row>
    <row r="238" spans="2:81" ht="13.2" x14ac:dyDescent="0.2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</row>
    <row r="239" spans="2:81" ht="13.2" x14ac:dyDescent="0.2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</row>
    <row r="240" spans="2:81" ht="13.2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</row>
    <row r="241" spans="2:81" ht="13.2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</row>
    <row r="242" spans="2:81" ht="13.2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</row>
    <row r="243" spans="2:81" ht="13.2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</row>
    <row r="244" spans="2:81" ht="13.2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</row>
    <row r="245" spans="2:81" ht="13.2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</row>
    <row r="246" spans="2:81" ht="13.2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</row>
    <row r="247" spans="2:81" ht="13.2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</row>
    <row r="248" spans="2:81" ht="13.2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</row>
    <row r="249" spans="2:81" ht="13.2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</row>
    <row r="250" spans="2:81" ht="13.2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</row>
    <row r="251" spans="2:81" ht="13.2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</row>
    <row r="252" spans="2:81" ht="13.2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</row>
    <row r="253" spans="2:81" ht="13.2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</row>
    <row r="254" spans="2:81" ht="13.2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</row>
    <row r="255" spans="2:81" ht="13.2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</row>
    <row r="256" spans="2:81" ht="13.2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</row>
    <row r="257" spans="2:81" ht="13.2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</row>
    <row r="258" spans="2:81" ht="13.2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</row>
    <row r="259" spans="2:81" ht="13.2" x14ac:dyDescent="0.2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</row>
    <row r="260" spans="2:81" ht="13.2" x14ac:dyDescent="0.2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</row>
    <row r="261" spans="2:81" ht="13.2" x14ac:dyDescent="0.2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</row>
    <row r="262" spans="2:81" ht="13.2" x14ac:dyDescent="0.2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</row>
    <row r="263" spans="2:81" ht="13.2" x14ac:dyDescent="0.2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</row>
    <row r="264" spans="2:81" ht="13.2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</row>
    <row r="265" spans="2:81" ht="13.2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</row>
    <row r="266" spans="2:81" ht="13.2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</row>
    <row r="267" spans="2:81" ht="13.2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</row>
    <row r="268" spans="2:81" ht="13.2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</row>
    <row r="269" spans="2:81" ht="13.2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</row>
    <row r="270" spans="2:81" ht="13.2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</row>
    <row r="271" spans="2:81" ht="13.2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</row>
    <row r="272" spans="2:81" ht="13.2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</row>
    <row r="273" spans="2:81" ht="13.2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</row>
    <row r="274" spans="2:81" ht="13.2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</row>
    <row r="275" spans="2:81" ht="13.2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</row>
    <row r="276" spans="2:81" ht="13.2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</row>
    <row r="277" spans="2:81" ht="13.2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</row>
    <row r="278" spans="2:81" ht="13.2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</row>
    <row r="279" spans="2:81" ht="13.2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</row>
    <row r="280" spans="2:81" ht="13.2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</row>
    <row r="281" spans="2:81" ht="13.2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</row>
    <row r="282" spans="2:81" ht="13.2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</row>
    <row r="283" spans="2:81" ht="13.2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</row>
    <row r="284" spans="2:81" ht="13.2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</row>
    <row r="285" spans="2:81" ht="13.2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</row>
    <row r="286" spans="2:81" ht="13.2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</row>
    <row r="287" spans="2:81" ht="13.2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</row>
    <row r="288" spans="2:81" ht="13.2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</row>
    <row r="289" spans="2:81" ht="13.2" x14ac:dyDescent="0.2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</row>
    <row r="290" spans="2:81" ht="13.2" x14ac:dyDescent="0.2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</row>
    <row r="291" spans="2:81" ht="13.2" x14ac:dyDescent="0.2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</row>
    <row r="292" spans="2:81" ht="13.2" x14ac:dyDescent="0.2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</row>
    <row r="293" spans="2:81" ht="13.2" x14ac:dyDescent="0.2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</row>
    <row r="294" spans="2:81" ht="13.2" x14ac:dyDescent="0.2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</row>
    <row r="295" spans="2:81" ht="13.2" x14ac:dyDescent="0.2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</row>
    <row r="296" spans="2:81" ht="13.2" x14ac:dyDescent="0.2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</row>
    <row r="297" spans="2:81" ht="13.2" x14ac:dyDescent="0.2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</row>
    <row r="298" spans="2:81" ht="13.2" x14ac:dyDescent="0.2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</row>
    <row r="299" spans="2:81" ht="13.2" x14ac:dyDescent="0.2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</row>
    <row r="300" spans="2:81" ht="13.2" x14ac:dyDescent="0.2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</row>
    <row r="301" spans="2:81" ht="13.2" x14ac:dyDescent="0.2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</row>
    <row r="302" spans="2:81" ht="13.2" x14ac:dyDescent="0.2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</row>
    <row r="303" spans="2:81" ht="13.2" x14ac:dyDescent="0.2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</row>
    <row r="304" spans="2:81" ht="13.2" x14ac:dyDescent="0.2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</row>
    <row r="305" spans="2:81" ht="13.2" x14ac:dyDescent="0.2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</row>
    <row r="306" spans="2:81" ht="13.2" x14ac:dyDescent="0.2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</row>
    <row r="307" spans="2:81" ht="13.2" x14ac:dyDescent="0.2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</row>
    <row r="308" spans="2:81" ht="13.2" x14ac:dyDescent="0.2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</row>
    <row r="309" spans="2:81" ht="13.2" x14ac:dyDescent="0.2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</row>
    <row r="310" spans="2:81" ht="13.2" x14ac:dyDescent="0.2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</row>
    <row r="311" spans="2:81" ht="13.2" x14ac:dyDescent="0.2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</row>
    <row r="312" spans="2:81" ht="13.2" x14ac:dyDescent="0.2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</row>
    <row r="313" spans="2:81" ht="13.2" x14ac:dyDescent="0.2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</row>
    <row r="314" spans="2:81" ht="13.2" x14ac:dyDescent="0.2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</row>
    <row r="315" spans="2:81" ht="13.2" x14ac:dyDescent="0.2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</row>
    <row r="316" spans="2:81" ht="13.2" x14ac:dyDescent="0.2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</row>
    <row r="317" spans="2:81" ht="13.2" x14ac:dyDescent="0.2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</row>
    <row r="318" spans="2:81" ht="13.2" x14ac:dyDescent="0.2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</row>
    <row r="319" spans="2:81" ht="13.2" x14ac:dyDescent="0.2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</row>
    <row r="320" spans="2:81" ht="13.2" x14ac:dyDescent="0.2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</row>
    <row r="321" spans="2:81" ht="13.2" x14ac:dyDescent="0.2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</row>
    <row r="322" spans="2:81" ht="13.2" x14ac:dyDescent="0.2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</row>
    <row r="323" spans="2:81" ht="13.2" x14ac:dyDescent="0.2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</row>
    <row r="324" spans="2:81" ht="13.2" x14ac:dyDescent="0.2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</row>
    <row r="325" spans="2:81" ht="13.2" x14ac:dyDescent="0.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</row>
    <row r="326" spans="2:81" ht="13.2" x14ac:dyDescent="0.2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</row>
    <row r="327" spans="2:81" ht="13.2" x14ac:dyDescent="0.2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</row>
    <row r="328" spans="2:81" ht="13.2" x14ac:dyDescent="0.2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</row>
    <row r="329" spans="2:81" ht="13.2" x14ac:dyDescent="0.2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</row>
    <row r="330" spans="2:81" ht="13.2" x14ac:dyDescent="0.2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</row>
    <row r="331" spans="2:81" ht="13.2" x14ac:dyDescent="0.2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</row>
    <row r="332" spans="2:81" ht="13.2" x14ac:dyDescent="0.2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</row>
    <row r="333" spans="2:81" ht="13.2" x14ac:dyDescent="0.2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</row>
    <row r="334" spans="2:81" ht="13.2" x14ac:dyDescent="0.2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</row>
    <row r="335" spans="2:81" ht="13.2" x14ac:dyDescent="0.2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</row>
    <row r="336" spans="2:81" ht="13.2" x14ac:dyDescent="0.2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</row>
    <row r="337" spans="2:81" ht="13.2" x14ac:dyDescent="0.2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</row>
    <row r="338" spans="2:81" ht="13.2" x14ac:dyDescent="0.2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</row>
    <row r="339" spans="2:81" ht="13.2" x14ac:dyDescent="0.2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</row>
    <row r="340" spans="2:81" ht="13.2" x14ac:dyDescent="0.2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</row>
    <row r="341" spans="2:81" ht="13.2" x14ac:dyDescent="0.2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</row>
    <row r="342" spans="2:81" ht="13.2" x14ac:dyDescent="0.2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</row>
    <row r="343" spans="2:81" ht="13.2" x14ac:dyDescent="0.2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</row>
    <row r="344" spans="2:81" ht="13.2" x14ac:dyDescent="0.2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</row>
    <row r="345" spans="2:81" ht="13.2" x14ac:dyDescent="0.2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</row>
    <row r="346" spans="2:81" ht="13.2" x14ac:dyDescent="0.2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</row>
    <row r="347" spans="2:81" ht="13.2" x14ac:dyDescent="0.2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</row>
    <row r="348" spans="2:81" ht="13.2" x14ac:dyDescent="0.2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</row>
    <row r="349" spans="2:81" ht="13.2" x14ac:dyDescent="0.2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</row>
    <row r="350" spans="2:81" ht="13.2" x14ac:dyDescent="0.2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</row>
    <row r="351" spans="2:81" ht="13.2" x14ac:dyDescent="0.2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</row>
    <row r="352" spans="2:81" ht="13.2" x14ac:dyDescent="0.2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</row>
    <row r="353" spans="2:81" ht="13.2" x14ac:dyDescent="0.2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</row>
    <row r="354" spans="2:81" ht="13.2" x14ac:dyDescent="0.2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</row>
    <row r="355" spans="2:81" ht="13.2" x14ac:dyDescent="0.2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</row>
    <row r="356" spans="2:81" ht="13.2" x14ac:dyDescent="0.2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</row>
    <row r="357" spans="2:81" ht="13.2" x14ac:dyDescent="0.2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</row>
    <row r="358" spans="2:81" ht="13.2" x14ac:dyDescent="0.2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</row>
    <row r="359" spans="2:81" ht="13.2" x14ac:dyDescent="0.2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</row>
    <row r="360" spans="2:81" ht="13.2" x14ac:dyDescent="0.2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</row>
    <row r="361" spans="2:81" ht="13.2" x14ac:dyDescent="0.2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</row>
    <row r="362" spans="2:81" ht="13.2" x14ac:dyDescent="0.2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</row>
    <row r="363" spans="2:81" ht="13.2" x14ac:dyDescent="0.2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</row>
    <row r="364" spans="2:81" ht="13.2" x14ac:dyDescent="0.2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</row>
    <row r="365" spans="2:81" ht="13.2" x14ac:dyDescent="0.2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</row>
    <row r="366" spans="2:81" ht="13.2" x14ac:dyDescent="0.2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</row>
    <row r="367" spans="2:81" ht="13.2" x14ac:dyDescent="0.2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</row>
    <row r="368" spans="2:81" ht="13.2" x14ac:dyDescent="0.2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</row>
    <row r="369" spans="2:81" ht="13.2" x14ac:dyDescent="0.2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</row>
    <row r="370" spans="2:81" ht="13.2" x14ac:dyDescent="0.2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</row>
    <row r="371" spans="2:81" ht="13.2" x14ac:dyDescent="0.2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</row>
    <row r="372" spans="2:81" ht="13.2" x14ac:dyDescent="0.2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</row>
    <row r="373" spans="2:81" ht="13.2" x14ac:dyDescent="0.2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</row>
    <row r="374" spans="2:81" ht="13.2" x14ac:dyDescent="0.2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</row>
    <row r="375" spans="2:81" ht="13.2" x14ac:dyDescent="0.2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</row>
    <row r="376" spans="2:81" ht="13.2" x14ac:dyDescent="0.2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</row>
    <row r="377" spans="2:81" ht="13.2" x14ac:dyDescent="0.2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</row>
    <row r="378" spans="2:81" ht="13.2" x14ac:dyDescent="0.2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</row>
    <row r="379" spans="2:81" ht="13.2" x14ac:dyDescent="0.2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</row>
    <row r="380" spans="2:81" ht="13.2" x14ac:dyDescent="0.2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</row>
    <row r="381" spans="2:81" ht="13.2" x14ac:dyDescent="0.2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</row>
    <row r="382" spans="2:81" ht="13.2" x14ac:dyDescent="0.2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</row>
    <row r="383" spans="2:81" ht="13.2" x14ac:dyDescent="0.2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</row>
    <row r="384" spans="2:81" ht="13.2" x14ac:dyDescent="0.2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</row>
    <row r="385" spans="2:81" ht="13.2" x14ac:dyDescent="0.2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</row>
    <row r="386" spans="2:81" ht="13.2" x14ac:dyDescent="0.2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</row>
    <row r="387" spans="2:81" ht="13.2" x14ac:dyDescent="0.2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</row>
    <row r="388" spans="2:81" ht="13.2" x14ac:dyDescent="0.2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</row>
    <row r="389" spans="2:81" ht="13.2" x14ac:dyDescent="0.2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</row>
    <row r="390" spans="2:81" ht="13.2" x14ac:dyDescent="0.2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</row>
    <row r="391" spans="2:81" ht="13.2" x14ac:dyDescent="0.2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</row>
    <row r="392" spans="2:81" ht="13.2" x14ac:dyDescent="0.2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</row>
    <row r="393" spans="2:81" ht="13.2" x14ac:dyDescent="0.2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</row>
    <row r="394" spans="2:81" ht="13.2" x14ac:dyDescent="0.2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</row>
    <row r="395" spans="2:81" ht="13.2" x14ac:dyDescent="0.2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</row>
    <row r="396" spans="2:81" ht="13.2" x14ac:dyDescent="0.2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</row>
    <row r="397" spans="2:81" ht="13.2" x14ac:dyDescent="0.2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</row>
    <row r="398" spans="2:81" ht="13.2" x14ac:dyDescent="0.2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</row>
    <row r="399" spans="2:81" ht="13.2" x14ac:dyDescent="0.2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</row>
    <row r="400" spans="2:81" ht="13.2" x14ac:dyDescent="0.2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</row>
    <row r="401" spans="2:81" ht="13.2" x14ac:dyDescent="0.2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</row>
    <row r="402" spans="2:81" ht="13.2" x14ac:dyDescent="0.2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</row>
    <row r="403" spans="2:81" ht="13.2" x14ac:dyDescent="0.2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</row>
    <row r="404" spans="2:81" ht="13.2" x14ac:dyDescent="0.2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</row>
    <row r="405" spans="2:81" ht="13.2" x14ac:dyDescent="0.2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</row>
    <row r="406" spans="2:81" ht="13.2" x14ac:dyDescent="0.2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</row>
    <row r="407" spans="2:81" ht="13.2" x14ac:dyDescent="0.2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</row>
    <row r="408" spans="2:81" ht="13.2" x14ac:dyDescent="0.2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</row>
    <row r="409" spans="2:81" ht="13.2" x14ac:dyDescent="0.2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</row>
    <row r="410" spans="2:81" ht="13.2" x14ac:dyDescent="0.2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</row>
    <row r="411" spans="2:81" ht="13.2" x14ac:dyDescent="0.2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</row>
    <row r="412" spans="2:81" ht="13.2" x14ac:dyDescent="0.2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</row>
    <row r="413" spans="2:81" ht="13.2" x14ac:dyDescent="0.2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</row>
    <row r="414" spans="2:81" ht="13.2" x14ac:dyDescent="0.2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</row>
    <row r="415" spans="2:81" ht="13.2" x14ac:dyDescent="0.2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</row>
    <row r="416" spans="2:81" ht="13.2" x14ac:dyDescent="0.2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</row>
    <row r="417" spans="2:81" ht="13.2" x14ac:dyDescent="0.2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</row>
    <row r="418" spans="2:81" ht="13.2" x14ac:dyDescent="0.2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</row>
    <row r="419" spans="2:81" ht="13.2" x14ac:dyDescent="0.2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</row>
    <row r="420" spans="2:81" ht="13.2" x14ac:dyDescent="0.2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</row>
    <row r="421" spans="2:81" ht="13.2" x14ac:dyDescent="0.2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</row>
    <row r="422" spans="2:81" ht="13.2" x14ac:dyDescent="0.2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</row>
    <row r="423" spans="2:81" ht="13.2" x14ac:dyDescent="0.2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</row>
    <row r="424" spans="2:81" ht="13.2" x14ac:dyDescent="0.2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</row>
    <row r="425" spans="2:81" ht="13.2" x14ac:dyDescent="0.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</row>
    <row r="426" spans="2:81" ht="13.2" x14ac:dyDescent="0.2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</row>
    <row r="427" spans="2:81" ht="13.2" x14ac:dyDescent="0.2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</row>
    <row r="428" spans="2:81" ht="13.2" x14ac:dyDescent="0.2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</row>
    <row r="429" spans="2:81" ht="13.2" x14ac:dyDescent="0.2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</row>
    <row r="430" spans="2:81" ht="13.2" x14ac:dyDescent="0.2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</row>
    <row r="431" spans="2:81" ht="13.2" x14ac:dyDescent="0.2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</row>
    <row r="432" spans="2:81" ht="13.2" x14ac:dyDescent="0.2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</row>
    <row r="433" spans="2:81" ht="13.2" x14ac:dyDescent="0.2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</row>
    <row r="434" spans="2:81" ht="13.2" x14ac:dyDescent="0.2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</row>
    <row r="435" spans="2:81" ht="13.2" x14ac:dyDescent="0.2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</row>
    <row r="436" spans="2:81" ht="13.2" x14ac:dyDescent="0.2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</row>
    <row r="437" spans="2:81" ht="13.2" x14ac:dyDescent="0.2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</row>
    <row r="438" spans="2:81" ht="13.2" x14ac:dyDescent="0.2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</row>
    <row r="439" spans="2:81" ht="13.2" x14ac:dyDescent="0.2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</row>
    <row r="440" spans="2:81" ht="13.2" x14ac:dyDescent="0.2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</row>
    <row r="441" spans="2:81" ht="13.2" x14ac:dyDescent="0.2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</row>
    <row r="442" spans="2:81" ht="13.2" x14ac:dyDescent="0.2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</row>
    <row r="443" spans="2:81" ht="13.2" x14ac:dyDescent="0.2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</row>
    <row r="444" spans="2:81" ht="13.2" x14ac:dyDescent="0.2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</row>
    <row r="445" spans="2:81" ht="13.2" x14ac:dyDescent="0.2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</row>
    <row r="446" spans="2:81" ht="13.2" x14ac:dyDescent="0.2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</row>
    <row r="447" spans="2:81" ht="13.2" x14ac:dyDescent="0.2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</row>
    <row r="448" spans="2:81" ht="13.2" x14ac:dyDescent="0.2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</row>
    <row r="449" spans="2:81" ht="13.2" x14ac:dyDescent="0.2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</row>
    <row r="450" spans="2:81" ht="13.2" x14ac:dyDescent="0.2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</row>
    <row r="451" spans="2:81" ht="13.2" x14ac:dyDescent="0.2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</row>
    <row r="452" spans="2:81" ht="13.2" x14ac:dyDescent="0.2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</row>
    <row r="453" spans="2:81" ht="13.2" x14ac:dyDescent="0.2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</row>
    <row r="454" spans="2:81" ht="13.2" x14ac:dyDescent="0.2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</row>
    <row r="455" spans="2:81" ht="13.2" x14ac:dyDescent="0.2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</row>
    <row r="456" spans="2:81" ht="13.2" x14ac:dyDescent="0.2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</row>
    <row r="457" spans="2:81" ht="13.2" x14ac:dyDescent="0.2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</row>
    <row r="458" spans="2:81" ht="13.2" x14ac:dyDescent="0.2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</row>
    <row r="459" spans="2:81" ht="13.2" x14ac:dyDescent="0.2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</row>
    <row r="460" spans="2:81" ht="13.2" x14ac:dyDescent="0.2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</row>
    <row r="461" spans="2:81" ht="13.2" x14ac:dyDescent="0.2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</row>
    <row r="462" spans="2:81" ht="13.2" x14ac:dyDescent="0.2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</row>
    <row r="463" spans="2:81" ht="13.2" x14ac:dyDescent="0.2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</row>
    <row r="464" spans="2:81" ht="13.2" x14ac:dyDescent="0.2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</row>
    <row r="465" spans="2:81" ht="13.2" x14ac:dyDescent="0.2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</row>
    <row r="466" spans="2:81" ht="13.2" x14ac:dyDescent="0.2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</row>
    <row r="467" spans="2:81" ht="13.2" x14ac:dyDescent="0.2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</row>
    <row r="468" spans="2:81" ht="13.2" x14ac:dyDescent="0.2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</row>
    <row r="469" spans="2:81" ht="13.2" x14ac:dyDescent="0.2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</row>
    <row r="470" spans="2:81" ht="13.2" x14ac:dyDescent="0.2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</row>
    <row r="471" spans="2:81" ht="13.2" x14ac:dyDescent="0.2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</row>
    <row r="472" spans="2:81" ht="13.2" x14ac:dyDescent="0.2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</row>
    <row r="473" spans="2:81" ht="13.2" x14ac:dyDescent="0.2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</row>
    <row r="474" spans="2:81" ht="13.2" x14ac:dyDescent="0.2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</row>
    <row r="475" spans="2:81" ht="13.2" x14ac:dyDescent="0.2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</row>
    <row r="476" spans="2:81" ht="13.2" x14ac:dyDescent="0.2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</row>
    <row r="477" spans="2:81" ht="13.2" x14ac:dyDescent="0.2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</row>
    <row r="478" spans="2:81" ht="13.2" x14ac:dyDescent="0.2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</row>
    <row r="479" spans="2:81" ht="13.2" x14ac:dyDescent="0.2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</row>
    <row r="480" spans="2:81" ht="13.2" x14ac:dyDescent="0.2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</row>
    <row r="481" spans="2:81" ht="13.2" x14ac:dyDescent="0.2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</row>
    <row r="482" spans="2:81" ht="13.2" x14ac:dyDescent="0.2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</row>
    <row r="483" spans="2:81" ht="13.2" x14ac:dyDescent="0.2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</row>
    <row r="484" spans="2:81" ht="13.2" x14ac:dyDescent="0.2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</row>
    <row r="485" spans="2:81" ht="13.2" x14ac:dyDescent="0.2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</row>
    <row r="486" spans="2:81" ht="13.2" x14ac:dyDescent="0.2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</row>
    <row r="487" spans="2:81" ht="13.2" x14ac:dyDescent="0.2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</row>
    <row r="488" spans="2:81" ht="13.2" x14ac:dyDescent="0.2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</row>
    <row r="489" spans="2:81" ht="13.2" x14ac:dyDescent="0.2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</row>
    <row r="490" spans="2:81" ht="13.2" x14ac:dyDescent="0.2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</row>
    <row r="491" spans="2:81" ht="13.2" x14ac:dyDescent="0.2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</row>
    <row r="492" spans="2:81" ht="13.2" x14ac:dyDescent="0.2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</row>
    <row r="493" spans="2:81" ht="13.2" x14ac:dyDescent="0.2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</row>
    <row r="494" spans="2:81" ht="13.2" x14ac:dyDescent="0.2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</row>
    <row r="495" spans="2:81" ht="13.2" x14ac:dyDescent="0.2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</row>
    <row r="496" spans="2:81" ht="13.2" x14ac:dyDescent="0.2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</row>
    <row r="497" spans="2:81" ht="13.2" x14ac:dyDescent="0.2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</row>
    <row r="498" spans="2:81" ht="13.2" x14ac:dyDescent="0.2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</row>
    <row r="499" spans="2:81" ht="13.2" x14ac:dyDescent="0.2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</row>
    <row r="500" spans="2:81" ht="13.2" x14ac:dyDescent="0.2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</row>
    <row r="501" spans="2:81" ht="13.2" x14ac:dyDescent="0.2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</row>
    <row r="502" spans="2:81" ht="13.2" x14ac:dyDescent="0.2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</row>
    <row r="503" spans="2:81" ht="13.2" x14ac:dyDescent="0.2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</row>
    <row r="504" spans="2:81" ht="13.2" x14ac:dyDescent="0.2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</row>
    <row r="505" spans="2:81" ht="13.2" x14ac:dyDescent="0.2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</row>
    <row r="506" spans="2:81" ht="13.2" x14ac:dyDescent="0.2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</row>
    <row r="507" spans="2:81" ht="13.2" x14ac:dyDescent="0.2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</row>
    <row r="508" spans="2:81" ht="13.2" x14ac:dyDescent="0.2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</row>
    <row r="509" spans="2:81" ht="13.2" x14ac:dyDescent="0.2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</row>
    <row r="510" spans="2:81" ht="13.2" x14ac:dyDescent="0.2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</row>
    <row r="511" spans="2:81" ht="13.2" x14ac:dyDescent="0.2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</row>
    <row r="512" spans="2:81" ht="13.2" x14ac:dyDescent="0.2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</row>
    <row r="513" spans="2:81" ht="13.2" x14ac:dyDescent="0.2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</row>
    <row r="514" spans="2:81" ht="13.2" x14ac:dyDescent="0.2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</row>
    <row r="515" spans="2:81" ht="13.2" x14ac:dyDescent="0.2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</row>
    <row r="516" spans="2:81" ht="13.2" x14ac:dyDescent="0.2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</row>
    <row r="517" spans="2:81" ht="13.2" x14ac:dyDescent="0.2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</row>
    <row r="518" spans="2:81" ht="13.2" x14ac:dyDescent="0.2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</row>
    <row r="519" spans="2:81" ht="13.2" x14ac:dyDescent="0.2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</row>
    <row r="520" spans="2:81" ht="13.2" x14ac:dyDescent="0.2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</row>
    <row r="521" spans="2:81" ht="13.2" x14ac:dyDescent="0.2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</row>
    <row r="522" spans="2:81" ht="13.2" x14ac:dyDescent="0.2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</row>
    <row r="523" spans="2:81" ht="13.2" x14ac:dyDescent="0.2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</row>
    <row r="524" spans="2:81" ht="13.2" x14ac:dyDescent="0.2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</row>
    <row r="525" spans="2:81" ht="13.2" x14ac:dyDescent="0.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</row>
    <row r="526" spans="2:81" ht="13.2" x14ac:dyDescent="0.2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</row>
    <row r="527" spans="2:81" ht="13.2" x14ac:dyDescent="0.2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</row>
    <row r="528" spans="2:81" ht="13.2" x14ac:dyDescent="0.2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</row>
    <row r="529" spans="2:81" ht="13.2" x14ac:dyDescent="0.2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</row>
    <row r="530" spans="2:81" ht="13.2" x14ac:dyDescent="0.2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</row>
    <row r="531" spans="2:81" ht="13.2" x14ac:dyDescent="0.2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</row>
    <row r="532" spans="2:81" ht="13.2" x14ac:dyDescent="0.2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</row>
    <row r="533" spans="2:81" ht="13.2" x14ac:dyDescent="0.2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</row>
    <row r="534" spans="2:81" ht="13.2" x14ac:dyDescent="0.2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</row>
    <row r="535" spans="2:81" ht="13.2" x14ac:dyDescent="0.2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</row>
    <row r="536" spans="2:81" ht="13.2" x14ac:dyDescent="0.2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</row>
    <row r="537" spans="2:81" ht="13.2" x14ac:dyDescent="0.2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</row>
    <row r="538" spans="2:81" ht="13.2" x14ac:dyDescent="0.2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</row>
    <row r="539" spans="2:81" ht="13.2" x14ac:dyDescent="0.2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</row>
    <row r="540" spans="2:81" ht="13.2" x14ac:dyDescent="0.2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</row>
    <row r="541" spans="2:81" ht="13.2" x14ac:dyDescent="0.2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</row>
    <row r="542" spans="2:81" ht="13.2" x14ac:dyDescent="0.2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</row>
    <row r="543" spans="2:81" ht="13.2" x14ac:dyDescent="0.2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</row>
    <row r="544" spans="2:81" ht="13.2" x14ac:dyDescent="0.2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</row>
    <row r="545" spans="2:81" ht="13.2" x14ac:dyDescent="0.2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</row>
    <row r="546" spans="2:81" ht="13.2" x14ac:dyDescent="0.2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</row>
    <row r="547" spans="2:81" ht="13.2" x14ac:dyDescent="0.2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</row>
    <row r="548" spans="2:81" ht="13.2" x14ac:dyDescent="0.2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</row>
    <row r="549" spans="2:81" ht="13.2" x14ac:dyDescent="0.2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</row>
    <row r="550" spans="2:81" ht="13.2" x14ac:dyDescent="0.2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</row>
    <row r="551" spans="2:81" ht="13.2" x14ac:dyDescent="0.2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</row>
    <row r="552" spans="2:81" ht="13.2" x14ac:dyDescent="0.2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</row>
    <row r="553" spans="2:81" ht="13.2" x14ac:dyDescent="0.2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</row>
    <row r="554" spans="2:81" ht="13.2" x14ac:dyDescent="0.2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</row>
    <row r="555" spans="2:81" ht="13.2" x14ac:dyDescent="0.2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</row>
    <row r="556" spans="2:81" ht="13.2" x14ac:dyDescent="0.2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</row>
    <row r="557" spans="2:81" ht="13.2" x14ac:dyDescent="0.2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</row>
    <row r="558" spans="2:81" ht="13.2" x14ac:dyDescent="0.2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</row>
    <row r="559" spans="2:81" ht="13.2" x14ac:dyDescent="0.2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</row>
    <row r="560" spans="2:81" ht="13.2" x14ac:dyDescent="0.2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</row>
    <row r="561" spans="2:81" ht="13.2" x14ac:dyDescent="0.2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</row>
    <row r="562" spans="2:81" ht="13.2" x14ac:dyDescent="0.2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</row>
    <row r="563" spans="2:81" ht="13.2" x14ac:dyDescent="0.2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</row>
    <row r="564" spans="2:81" ht="13.2" x14ac:dyDescent="0.2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</row>
    <row r="565" spans="2:81" ht="13.2" x14ac:dyDescent="0.2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</row>
    <row r="566" spans="2:81" ht="13.2" x14ac:dyDescent="0.2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</row>
    <row r="567" spans="2:81" ht="13.2" x14ac:dyDescent="0.2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</row>
    <row r="568" spans="2:81" ht="13.2" x14ac:dyDescent="0.2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</row>
    <row r="569" spans="2:81" ht="13.2" x14ac:dyDescent="0.2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</row>
    <row r="570" spans="2:81" ht="13.2" x14ac:dyDescent="0.2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</row>
    <row r="571" spans="2:81" ht="13.2" x14ac:dyDescent="0.2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</row>
    <row r="572" spans="2:81" ht="13.2" x14ac:dyDescent="0.2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</row>
    <row r="573" spans="2:81" ht="13.2" x14ac:dyDescent="0.2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</row>
    <row r="574" spans="2:81" ht="13.2" x14ac:dyDescent="0.2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</row>
    <row r="575" spans="2:81" ht="13.2" x14ac:dyDescent="0.2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</row>
    <row r="576" spans="2:81" ht="13.2" x14ac:dyDescent="0.2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</row>
    <row r="577" spans="2:81" ht="13.2" x14ac:dyDescent="0.2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</row>
    <row r="578" spans="2:81" ht="13.2" x14ac:dyDescent="0.2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</row>
    <row r="579" spans="2:81" ht="13.2" x14ac:dyDescent="0.2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</row>
    <row r="580" spans="2:81" ht="13.2" x14ac:dyDescent="0.2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</row>
    <row r="581" spans="2:81" ht="13.2" x14ac:dyDescent="0.2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</row>
    <row r="582" spans="2:81" ht="13.2" x14ac:dyDescent="0.2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</row>
    <row r="583" spans="2:81" ht="13.2" x14ac:dyDescent="0.2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</row>
    <row r="584" spans="2:81" ht="13.2" x14ac:dyDescent="0.2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</row>
    <row r="585" spans="2:81" ht="13.2" x14ac:dyDescent="0.2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</row>
    <row r="586" spans="2:81" ht="13.2" x14ac:dyDescent="0.2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</row>
    <row r="587" spans="2:81" ht="13.2" x14ac:dyDescent="0.2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</row>
    <row r="588" spans="2:81" ht="13.2" x14ac:dyDescent="0.2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</row>
    <row r="589" spans="2:81" ht="13.2" x14ac:dyDescent="0.2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</row>
    <row r="590" spans="2:81" ht="13.2" x14ac:dyDescent="0.2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</row>
    <row r="591" spans="2:81" ht="13.2" x14ac:dyDescent="0.2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</row>
    <row r="592" spans="2:81" ht="13.2" x14ac:dyDescent="0.2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</row>
    <row r="593" spans="2:81" ht="13.2" x14ac:dyDescent="0.2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</row>
    <row r="594" spans="2:81" ht="13.2" x14ac:dyDescent="0.2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</row>
    <row r="595" spans="2:81" ht="13.2" x14ac:dyDescent="0.2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</row>
    <row r="596" spans="2:81" ht="13.2" x14ac:dyDescent="0.2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</row>
    <row r="597" spans="2:81" ht="13.2" x14ac:dyDescent="0.2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</row>
    <row r="598" spans="2:81" ht="13.2" x14ac:dyDescent="0.2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</row>
    <row r="599" spans="2:81" ht="13.2" x14ac:dyDescent="0.2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</row>
    <row r="600" spans="2:81" ht="13.2" x14ac:dyDescent="0.2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</row>
    <row r="601" spans="2:81" ht="13.2" x14ac:dyDescent="0.2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</row>
    <row r="602" spans="2:81" ht="13.2" x14ac:dyDescent="0.2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</row>
    <row r="603" spans="2:81" ht="13.2" x14ac:dyDescent="0.2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</row>
    <row r="604" spans="2:81" ht="13.2" x14ac:dyDescent="0.2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</row>
    <row r="605" spans="2:81" ht="13.2" x14ac:dyDescent="0.2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</row>
    <row r="606" spans="2:81" ht="13.2" x14ac:dyDescent="0.2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</row>
    <row r="607" spans="2:81" ht="13.2" x14ac:dyDescent="0.2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</row>
    <row r="608" spans="2:81" ht="13.2" x14ac:dyDescent="0.2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</row>
    <row r="609" spans="2:81" ht="13.2" x14ac:dyDescent="0.2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</row>
    <row r="610" spans="2:81" ht="13.2" x14ac:dyDescent="0.2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</row>
    <row r="611" spans="2:81" ht="13.2" x14ac:dyDescent="0.2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</row>
    <row r="612" spans="2:81" ht="13.2" x14ac:dyDescent="0.2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</row>
    <row r="613" spans="2:81" ht="13.2" x14ac:dyDescent="0.2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</row>
    <row r="614" spans="2:81" ht="13.2" x14ac:dyDescent="0.2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</row>
    <row r="615" spans="2:81" ht="13.2" x14ac:dyDescent="0.2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</row>
    <row r="616" spans="2:81" ht="13.2" x14ac:dyDescent="0.2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</row>
    <row r="617" spans="2:81" ht="13.2" x14ac:dyDescent="0.2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</row>
    <row r="618" spans="2:81" ht="13.2" x14ac:dyDescent="0.2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</row>
    <row r="619" spans="2:81" ht="13.2" x14ac:dyDescent="0.2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</row>
    <row r="620" spans="2:81" ht="13.2" x14ac:dyDescent="0.2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</row>
    <row r="621" spans="2:81" ht="13.2" x14ac:dyDescent="0.2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</row>
    <row r="622" spans="2:81" ht="13.2" x14ac:dyDescent="0.2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</row>
    <row r="623" spans="2:81" ht="13.2" x14ac:dyDescent="0.2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</row>
    <row r="624" spans="2:81" ht="13.2" x14ac:dyDescent="0.2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</row>
    <row r="625" spans="2:81" ht="13.2" x14ac:dyDescent="0.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</row>
    <row r="626" spans="2:81" ht="13.2" x14ac:dyDescent="0.2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</row>
    <row r="627" spans="2:81" ht="13.2" x14ac:dyDescent="0.2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</row>
    <row r="628" spans="2:81" ht="13.2" x14ac:dyDescent="0.2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</row>
    <row r="629" spans="2:81" ht="13.2" x14ac:dyDescent="0.2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</row>
    <row r="630" spans="2:81" ht="13.2" x14ac:dyDescent="0.2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</row>
    <row r="631" spans="2:81" ht="13.2" x14ac:dyDescent="0.2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</row>
    <row r="632" spans="2:81" ht="13.2" x14ac:dyDescent="0.2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</row>
    <row r="633" spans="2:81" ht="13.2" x14ac:dyDescent="0.2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</row>
    <row r="634" spans="2:81" ht="13.2" x14ac:dyDescent="0.2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</row>
    <row r="635" spans="2:81" ht="13.2" x14ac:dyDescent="0.2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</row>
    <row r="636" spans="2:81" ht="13.2" x14ac:dyDescent="0.2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</row>
    <row r="637" spans="2:81" ht="13.2" x14ac:dyDescent="0.2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</row>
    <row r="638" spans="2:81" ht="13.2" x14ac:dyDescent="0.2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</row>
    <row r="639" spans="2:81" ht="13.2" x14ac:dyDescent="0.2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</row>
    <row r="640" spans="2:81" ht="13.2" x14ac:dyDescent="0.2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</row>
    <row r="641" spans="2:81" ht="13.2" x14ac:dyDescent="0.2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</row>
    <row r="642" spans="2:81" ht="13.2" x14ac:dyDescent="0.2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</row>
    <row r="643" spans="2:81" ht="13.2" x14ac:dyDescent="0.2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</row>
    <row r="644" spans="2:81" ht="13.2" x14ac:dyDescent="0.2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</row>
    <row r="645" spans="2:81" ht="13.2" x14ac:dyDescent="0.2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</row>
    <row r="646" spans="2:81" ht="13.2" x14ac:dyDescent="0.2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</row>
    <row r="647" spans="2:81" ht="13.2" x14ac:dyDescent="0.2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</row>
    <row r="648" spans="2:81" ht="13.2" x14ac:dyDescent="0.2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</row>
    <row r="649" spans="2:81" ht="13.2" x14ac:dyDescent="0.2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</row>
    <row r="650" spans="2:81" ht="13.2" x14ac:dyDescent="0.2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</row>
    <row r="651" spans="2:81" ht="13.2" x14ac:dyDescent="0.2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</row>
    <row r="652" spans="2:81" ht="13.2" x14ac:dyDescent="0.2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</row>
    <row r="653" spans="2:81" ht="13.2" x14ac:dyDescent="0.2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</row>
    <row r="654" spans="2:81" ht="13.2" x14ac:dyDescent="0.2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</row>
    <row r="655" spans="2:81" ht="13.2" x14ac:dyDescent="0.2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</row>
    <row r="656" spans="2:81" ht="13.2" x14ac:dyDescent="0.2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</row>
    <row r="657" spans="2:81" ht="13.2" x14ac:dyDescent="0.2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</row>
    <row r="658" spans="2:81" ht="13.2" x14ac:dyDescent="0.2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</row>
    <row r="659" spans="2:81" ht="13.2" x14ac:dyDescent="0.2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</row>
    <row r="660" spans="2:81" ht="13.2" x14ac:dyDescent="0.2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</row>
    <row r="661" spans="2:81" ht="13.2" x14ac:dyDescent="0.2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</row>
    <row r="662" spans="2:81" ht="13.2" x14ac:dyDescent="0.2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</row>
    <row r="663" spans="2:81" ht="13.2" x14ac:dyDescent="0.2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</row>
    <row r="664" spans="2:81" ht="13.2" x14ac:dyDescent="0.2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</row>
    <row r="665" spans="2:81" ht="13.2" x14ac:dyDescent="0.2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</row>
    <row r="666" spans="2:81" ht="13.2" x14ac:dyDescent="0.2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</row>
    <row r="667" spans="2:81" ht="13.2" x14ac:dyDescent="0.2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</row>
    <row r="668" spans="2:81" ht="13.2" x14ac:dyDescent="0.2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</row>
    <row r="669" spans="2:81" ht="13.2" x14ac:dyDescent="0.2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</row>
    <row r="670" spans="2:81" ht="13.2" x14ac:dyDescent="0.2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</row>
    <row r="671" spans="2:81" ht="13.2" x14ac:dyDescent="0.2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</row>
    <row r="672" spans="2:81" ht="13.2" x14ac:dyDescent="0.2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</row>
    <row r="673" spans="2:81" ht="13.2" x14ac:dyDescent="0.2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</row>
    <row r="674" spans="2:81" ht="13.2" x14ac:dyDescent="0.2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</row>
    <row r="675" spans="2:81" ht="13.2" x14ac:dyDescent="0.2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</row>
    <row r="676" spans="2:81" ht="13.2" x14ac:dyDescent="0.2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</row>
    <row r="677" spans="2:81" ht="13.2" x14ac:dyDescent="0.2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</row>
    <row r="678" spans="2:81" ht="13.2" x14ac:dyDescent="0.2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</row>
    <row r="679" spans="2:81" ht="13.2" x14ac:dyDescent="0.2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</row>
    <row r="680" spans="2:81" ht="13.2" x14ac:dyDescent="0.2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</row>
    <row r="681" spans="2:81" ht="13.2" x14ac:dyDescent="0.2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</row>
    <row r="682" spans="2:81" ht="13.2" x14ac:dyDescent="0.2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</row>
    <row r="683" spans="2:81" ht="13.2" x14ac:dyDescent="0.2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</row>
    <row r="684" spans="2:81" ht="13.2" x14ac:dyDescent="0.2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</row>
    <row r="685" spans="2:81" ht="13.2" x14ac:dyDescent="0.2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</row>
    <row r="686" spans="2:81" ht="13.2" x14ac:dyDescent="0.2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</row>
    <row r="687" spans="2:81" ht="13.2" x14ac:dyDescent="0.2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</row>
    <row r="688" spans="2:81" ht="13.2" x14ac:dyDescent="0.2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</row>
    <row r="689" spans="2:81" ht="13.2" x14ac:dyDescent="0.2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</row>
    <row r="690" spans="2:81" ht="13.2" x14ac:dyDescent="0.2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</row>
    <row r="691" spans="2:81" ht="13.2" x14ac:dyDescent="0.2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</row>
    <row r="692" spans="2:81" ht="13.2" x14ac:dyDescent="0.2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</row>
    <row r="693" spans="2:81" ht="13.2" x14ac:dyDescent="0.2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</row>
    <row r="694" spans="2:81" ht="13.2" x14ac:dyDescent="0.2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</row>
    <row r="695" spans="2:81" ht="13.2" x14ac:dyDescent="0.2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</row>
    <row r="696" spans="2:81" ht="13.2" x14ac:dyDescent="0.2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</row>
    <row r="697" spans="2:81" ht="13.2" x14ac:dyDescent="0.2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</row>
    <row r="698" spans="2:81" ht="13.2" x14ac:dyDescent="0.2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</row>
    <row r="699" spans="2:81" ht="13.2" x14ac:dyDescent="0.2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</row>
    <row r="700" spans="2:81" ht="13.2" x14ac:dyDescent="0.2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</row>
    <row r="701" spans="2:81" ht="13.2" x14ac:dyDescent="0.2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</row>
    <row r="702" spans="2:81" ht="13.2" x14ac:dyDescent="0.2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</row>
    <row r="703" spans="2:81" ht="13.2" x14ac:dyDescent="0.2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</row>
    <row r="704" spans="2:81" ht="13.2" x14ac:dyDescent="0.2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</row>
    <row r="705" spans="2:81" ht="13.2" x14ac:dyDescent="0.2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</row>
    <row r="706" spans="2:81" ht="13.2" x14ac:dyDescent="0.2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</row>
    <row r="707" spans="2:81" ht="13.2" x14ac:dyDescent="0.2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</row>
    <row r="708" spans="2:81" ht="13.2" x14ac:dyDescent="0.2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</row>
    <row r="709" spans="2:81" ht="13.2" x14ac:dyDescent="0.2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</row>
    <row r="710" spans="2:81" ht="13.2" x14ac:dyDescent="0.2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</row>
    <row r="711" spans="2:81" ht="13.2" x14ac:dyDescent="0.2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</row>
    <row r="712" spans="2:81" ht="13.2" x14ac:dyDescent="0.2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</row>
    <row r="713" spans="2:81" ht="13.2" x14ac:dyDescent="0.2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</row>
    <row r="714" spans="2:81" ht="13.2" x14ac:dyDescent="0.2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</row>
    <row r="715" spans="2:81" ht="13.2" x14ac:dyDescent="0.2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</row>
    <row r="716" spans="2:81" ht="13.2" x14ac:dyDescent="0.2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</row>
    <row r="717" spans="2:81" ht="13.2" x14ac:dyDescent="0.2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</row>
    <row r="718" spans="2:81" ht="13.2" x14ac:dyDescent="0.2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</row>
    <row r="719" spans="2:81" ht="13.2" x14ac:dyDescent="0.2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</row>
    <row r="720" spans="2:81" ht="13.2" x14ac:dyDescent="0.2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</row>
    <row r="721" spans="2:81" ht="13.2" x14ac:dyDescent="0.2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</row>
    <row r="722" spans="2:81" ht="13.2" x14ac:dyDescent="0.2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</row>
    <row r="723" spans="2:81" ht="13.2" x14ac:dyDescent="0.2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</row>
    <row r="724" spans="2:81" ht="13.2" x14ac:dyDescent="0.2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</row>
    <row r="725" spans="2:81" ht="13.2" x14ac:dyDescent="0.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</row>
    <row r="726" spans="2:81" ht="13.2" x14ac:dyDescent="0.2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</row>
    <row r="727" spans="2:81" ht="13.2" x14ac:dyDescent="0.2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</row>
    <row r="728" spans="2:81" ht="13.2" x14ac:dyDescent="0.2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</row>
    <row r="729" spans="2:81" ht="13.2" x14ac:dyDescent="0.2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</row>
    <row r="730" spans="2:81" ht="13.2" x14ac:dyDescent="0.2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</row>
    <row r="731" spans="2:81" ht="13.2" x14ac:dyDescent="0.2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</row>
    <row r="732" spans="2:81" ht="13.2" x14ac:dyDescent="0.2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</row>
    <row r="733" spans="2:81" ht="13.2" x14ac:dyDescent="0.2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</row>
    <row r="734" spans="2:81" ht="13.2" x14ac:dyDescent="0.2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</row>
    <row r="735" spans="2:81" ht="13.2" x14ac:dyDescent="0.2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</row>
    <row r="736" spans="2:81" ht="13.2" x14ac:dyDescent="0.2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</row>
    <row r="737" spans="2:81" ht="13.2" x14ac:dyDescent="0.2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</row>
    <row r="738" spans="2:81" ht="13.2" x14ac:dyDescent="0.2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</row>
    <row r="739" spans="2:81" ht="13.2" x14ac:dyDescent="0.2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</row>
    <row r="740" spans="2:81" ht="13.2" x14ac:dyDescent="0.2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</row>
    <row r="741" spans="2:81" ht="13.2" x14ac:dyDescent="0.2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</row>
    <row r="742" spans="2:81" ht="13.2" x14ac:dyDescent="0.2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</row>
    <row r="743" spans="2:81" ht="13.2" x14ac:dyDescent="0.2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</row>
    <row r="744" spans="2:81" ht="13.2" x14ac:dyDescent="0.2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</row>
    <row r="745" spans="2:81" ht="13.2" x14ac:dyDescent="0.2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</row>
    <row r="746" spans="2:81" ht="13.2" x14ac:dyDescent="0.2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</row>
    <row r="747" spans="2:81" ht="13.2" x14ac:dyDescent="0.2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</row>
    <row r="748" spans="2:81" ht="13.2" x14ac:dyDescent="0.2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</row>
    <row r="749" spans="2:81" ht="13.2" x14ac:dyDescent="0.2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</row>
    <row r="750" spans="2:81" ht="13.2" x14ac:dyDescent="0.2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</row>
    <row r="751" spans="2:81" ht="13.2" x14ac:dyDescent="0.2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</row>
    <row r="752" spans="2:81" ht="13.2" x14ac:dyDescent="0.2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</row>
    <row r="753" spans="2:81" ht="13.2" x14ac:dyDescent="0.2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</row>
    <row r="754" spans="2:81" ht="13.2" x14ac:dyDescent="0.2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</row>
    <row r="755" spans="2:81" ht="13.2" x14ac:dyDescent="0.2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</row>
    <row r="756" spans="2:81" ht="13.2" x14ac:dyDescent="0.2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</row>
    <row r="757" spans="2:81" ht="13.2" x14ac:dyDescent="0.2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</row>
    <row r="758" spans="2:81" ht="13.2" x14ac:dyDescent="0.2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</row>
    <row r="759" spans="2:81" ht="13.2" x14ac:dyDescent="0.2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</row>
    <row r="760" spans="2:81" ht="13.2" x14ac:dyDescent="0.2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</row>
    <row r="761" spans="2:81" ht="13.2" x14ac:dyDescent="0.2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</row>
    <row r="762" spans="2:81" ht="13.2" x14ac:dyDescent="0.2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</row>
    <row r="763" spans="2:81" ht="13.2" x14ac:dyDescent="0.2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</row>
    <row r="764" spans="2:81" ht="13.2" x14ac:dyDescent="0.2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</row>
    <row r="765" spans="2:81" ht="13.2" x14ac:dyDescent="0.2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</row>
    <row r="766" spans="2:81" ht="13.2" x14ac:dyDescent="0.2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</row>
    <row r="767" spans="2:81" ht="13.2" x14ac:dyDescent="0.2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</row>
    <row r="768" spans="2:81" ht="13.2" x14ac:dyDescent="0.2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</row>
    <row r="769" spans="2:81" ht="13.2" x14ac:dyDescent="0.2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</row>
    <row r="770" spans="2:81" ht="13.2" x14ac:dyDescent="0.2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</row>
    <row r="771" spans="2:81" ht="13.2" x14ac:dyDescent="0.2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</row>
    <row r="772" spans="2:81" ht="13.2" x14ac:dyDescent="0.2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</row>
    <row r="773" spans="2:81" ht="13.2" x14ac:dyDescent="0.2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</row>
    <row r="774" spans="2:81" ht="13.2" x14ac:dyDescent="0.2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</row>
    <row r="775" spans="2:81" ht="13.2" x14ac:dyDescent="0.2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</row>
    <row r="776" spans="2:81" ht="13.2" x14ac:dyDescent="0.2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</row>
    <row r="777" spans="2:81" ht="13.2" x14ac:dyDescent="0.2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</row>
    <row r="778" spans="2:81" ht="13.2" x14ac:dyDescent="0.2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</row>
    <row r="779" spans="2:81" ht="13.2" x14ac:dyDescent="0.2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</row>
    <row r="780" spans="2:81" ht="13.2" x14ac:dyDescent="0.2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</row>
    <row r="781" spans="2:81" ht="13.2" x14ac:dyDescent="0.2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</row>
    <row r="782" spans="2:81" ht="13.2" x14ac:dyDescent="0.2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</row>
    <row r="783" spans="2:81" ht="13.2" x14ac:dyDescent="0.2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</row>
    <row r="784" spans="2:81" ht="13.2" x14ac:dyDescent="0.2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</row>
    <row r="785" spans="2:81" ht="13.2" x14ac:dyDescent="0.2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</row>
    <row r="786" spans="2:81" ht="13.2" x14ac:dyDescent="0.2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</row>
    <row r="787" spans="2:81" ht="13.2" x14ac:dyDescent="0.2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</row>
    <row r="788" spans="2:81" ht="13.2" x14ac:dyDescent="0.2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</row>
    <row r="789" spans="2:81" ht="13.2" x14ac:dyDescent="0.2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</row>
    <row r="790" spans="2:81" ht="13.2" x14ac:dyDescent="0.2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</row>
    <row r="791" spans="2:81" ht="13.2" x14ac:dyDescent="0.2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</row>
    <row r="792" spans="2:81" ht="13.2" x14ac:dyDescent="0.2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</row>
    <row r="793" spans="2:81" ht="13.2" x14ac:dyDescent="0.2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</row>
    <row r="794" spans="2:81" ht="13.2" x14ac:dyDescent="0.2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</row>
    <row r="795" spans="2:81" ht="13.2" x14ac:dyDescent="0.2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</row>
    <row r="796" spans="2:81" ht="13.2" x14ac:dyDescent="0.2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</row>
    <row r="797" spans="2:81" ht="13.2" x14ac:dyDescent="0.2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</row>
    <row r="798" spans="2:81" ht="13.2" x14ac:dyDescent="0.2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</row>
    <row r="799" spans="2:81" ht="13.2" x14ac:dyDescent="0.2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</row>
    <row r="800" spans="2:81" ht="13.2" x14ac:dyDescent="0.2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</row>
    <row r="801" spans="2:81" ht="13.2" x14ac:dyDescent="0.2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</row>
    <row r="802" spans="2:81" ht="13.2" x14ac:dyDescent="0.2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</row>
    <row r="803" spans="2:81" ht="13.2" x14ac:dyDescent="0.2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</row>
    <row r="804" spans="2:81" ht="13.2" x14ac:dyDescent="0.2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</row>
    <row r="805" spans="2:81" ht="13.2" x14ac:dyDescent="0.2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</row>
    <row r="806" spans="2:81" ht="13.2" x14ac:dyDescent="0.2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</row>
    <row r="807" spans="2:81" ht="13.2" x14ac:dyDescent="0.2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</row>
    <row r="808" spans="2:81" ht="13.2" x14ac:dyDescent="0.2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</row>
    <row r="809" spans="2:81" ht="13.2" x14ac:dyDescent="0.2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</row>
    <row r="810" spans="2:81" ht="13.2" x14ac:dyDescent="0.2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</row>
    <row r="811" spans="2:81" ht="13.2" x14ac:dyDescent="0.2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</row>
    <row r="812" spans="2:81" ht="13.2" x14ac:dyDescent="0.2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</row>
    <row r="813" spans="2:81" ht="13.2" x14ac:dyDescent="0.2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</row>
    <row r="814" spans="2:81" ht="13.2" x14ac:dyDescent="0.2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</row>
    <row r="815" spans="2:81" ht="13.2" x14ac:dyDescent="0.2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</row>
    <row r="816" spans="2:81" ht="13.2" x14ac:dyDescent="0.2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</row>
    <row r="817" spans="2:81" ht="13.2" x14ac:dyDescent="0.2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</row>
    <row r="818" spans="2:81" ht="13.2" x14ac:dyDescent="0.2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</row>
    <row r="819" spans="2:81" ht="13.2" x14ac:dyDescent="0.2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</row>
    <row r="820" spans="2:81" ht="13.2" x14ac:dyDescent="0.2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</row>
    <row r="821" spans="2:81" ht="13.2" x14ac:dyDescent="0.2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</row>
    <row r="822" spans="2:81" ht="13.2" x14ac:dyDescent="0.2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</row>
    <row r="823" spans="2:81" ht="13.2" x14ac:dyDescent="0.2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</row>
    <row r="824" spans="2:81" ht="13.2" x14ac:dyDescent="0.2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</row>
    <row r="825" spans="2:81" ht="13.2" x14ac:dyDescent="0.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</row>
    <row r="826" spans="2:81" ht="13.2" x14ac:dyDescent="0.2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</row>
    <row r="827" spans="2:81" ht="13.2" x14ac:dyDescent="0.2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</row>
    <row r="828" spans="2:81" ht="13.2" x14ac:dyDescent="0.2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</row>
    <row r="829" spans="2:81" ht="13.2" x14ac:dyDescent="0.2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</row>
    <row r="830" spans="2:81" ht="13.2" x14ac:dyDescent="0.2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</row>
    <row r="831" spans="2:81" ht="13.2" x14ac:dyDescent="0.2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</row>
    <row r="832" spans="2:81" ht="13.2" x14ac:dyDescent="0.2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</row>
    <row r="833" spans="2:81" ht="13.2" x14ac:dyDescent="0.2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</row>
    <row r="834" spans="2:81" ht="13.2" x14ac:dyDescent="0.2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</row>
    <row r="835" spans="2:81" ht="13.2" x14ac:dyDescent="0.2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</row>
    <row r="836" spans="2:81" ht="13.2" x14ac:dyDescent="0.2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</row>
    <row r="837" spans="2:81" ht="13.2" x14ac:dyDescent="0.2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</row>
    <row r="838" spans="2:81" ht="13.2" x14ac:dyDescent="0.2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</row>
    <row r="839" spans="2:81" ht="13.2" x14ac:dyDescent="0.2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</row>
    <row r="840" spans="2:81" ht="13.2" x14ac:dyDescent="0.2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</row>
    <row r="841" spans="2:81" ht="13.2" x14ac:dyDescent="0.2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</row>
    <row r="842" spans="2:81" ht="13.2" x14ac:dyDescent="0.2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</row>
    <row r="843" spans="2:81" ht="13.2" x14ac:dyDescent="0.2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</row>
    <row r="844" spans="2:81" ht="13.2" x14ac:dyDescent="0.2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</row>
    <row r="845" spans="2:81" ht="13.2" x14ac:dyDescent="0.2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</row>
    <row r="846" spans="2:81" ht="13.2" x14ac:dyDescent="0.2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</row>
    <row r="847" spans="2:81" ht="13.2" x14ac:dyDescent="0.2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</row>
    <row r="848" spans="2:81" ht="13.2" x14ac:dyDescent="0.2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</row>
    <row r="849" spans="2:81" ht="13.2" x14ac:dyDescent="0.2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</row>
    <row r="850" spans="2:81" ht="13.2" x14ac:dyDescent="0.2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</row>
    <row r="851" spans="2:81" ht="13.2" x14ac:dyDescent="0.2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</row>
    <row r="852" spans="2:81" ht="13.2" x14ac:dyDescent="0.2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</row>
    <row r="853" spans="2:81" ht="13.2" x14ac:dyDescent="0.2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</row>
    <row r="854" spans="2:81" ht="13.2" x14ac:dyDescent="0.2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</row>
    <row r="855" spans="2:81" ht="13.2" x14ac:dyDescent="0.2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</row>
    <row r="856" spans="2:81" ht="13.2" x14ac:dyDescent="0.2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</row>
    <row r="857" spans="2:81" ht="13.2" x14ac:dyDescent="0.2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</row>
    <row r="858" spans="2:81" ht="13.2" x14ac:dyDescent="0.2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</row>
    <row r="859" spans="2:81" ht="13.2" x14ac:dyDescent="0.2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</row>
    <row r="860" spans="2:81" ht="13.2" x14ac:dyDescent="0.2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</row>
    <row r="861" spans="2:81" ht="13.2" x14ac:dyDescent="0.2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</row>
    <row r="862" spans="2:81" ht="13.2" x14ac:dyDescent="0.2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</row>
    <row r="863" spans="2:81" ht="13.2" x14ac:dyDescent="0.2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</row>
    <row r="864" spans="2:81" ht="13.2" x14ac:dyDescent="0.2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</row>
    <row r="865" spans="2:81" ht="13.2" x14ac:dyDescent="0.2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</row>
    <row r="866" spans="2:81" ht="13.2" x14ac:dyDescent="0.2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</row>
    <row r="867" spans="2:81" ht="13.2" x14ac:dyDescent="0.2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</row>
    <row r="868" spans="2:81" ht="13.2" x14ac:dyDescent="0.2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</row>
    <row r="869" spans="2:81" ht="13.2" x14ac:dyDescent="0.2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</row>
    <row r="870" spans="2:81" ht="13.2" x14ac:dyDescent="0.2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</row>
    <row r="871" spans="2:81" ht="13.2" x14ac:dyDescent="0.2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</row>
    <row r="872" spans="2:81" ht="13.2" x14ac:dyDescent="0.2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</row>
    <row r="873" spans="2:81" ht="13.2" x14ac:dyDescent="0.2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</row>
    <row r="874" spans="2:81" ht="13.2" x14ac:dyDescent="0.2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</row>
    <row r="875" spans="2:81" ht="13.2" x14ac:dyDescent="0.2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</row>
    <row r="876" spans="2:81" ht="13.2" x14ac:dyDescent="0.2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</row>
    <row r="877" spans="2:81" ht="13.2" x14ac:dyDescent="0.2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</row>
    <row r="878" spans="2:81" ht="13.2" x14ac:dyDescent="0.2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</row>
    <row r="879" spans="2:81" ht="13.2" x14ac:dyDescent="0.2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</row>
    <row r="880" spans="2:81" ht="13.2" x14ac:dyDescent="0.2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</row>
    <row r="881" spans="2:81" ht="13.2" x14ac:dyDescent="0.2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</row>
    <row r="882" spans="2:81" ht="13.2" x14ac:dyDescent="0.2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</row>
    <row r="883" spans="2:81" ht="13.2" x14ac:dyDescent="0.2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</row>
    <row r="884" spans="2:81" ht="13.2" x14ac:dyDescent="0.2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</row>
    <row r="885" spans="2:81" ht="13.2" x14ac:dyDescent="0.2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</row>
    <row r="886" spans="2:81" ht="13.2" x14ac:dyDescent="0.2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</row>
    <row r="887" spans="2:81" ht="13.2" x14ac:dyDescent="0.2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</row>
    <row r="888" spans="2:81" ht="13.2" x14ac:dyDescent="0.2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</row>
    <row r="889" spans="2:81" ht="13.2" x14ac:dyDescent="0.2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</row>
    <row r="890" spans="2:81" ht="13.2" x14ac:dyDescent="0.2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</row>
    <row r="891" spans="2:81" ht="13.2" x14ac:dyDescent="0.2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</row>
    <row r="892" spans="2:81" ht="13.2" x14ac:dyDescent="0.2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</row>
    <row r="893" spans="2:81" ht="13.2" x14ac:dyDescent="0.2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</row>
    <row r="894" spans="2:81" ht="13.2" x14ac:dyDescent="0.2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</row>
    <row r="895" spans="2:81" ht="13.2" x14ac:dyDescent="0.2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</row>
    <row r="896" spans="2:81" ht="13.2" x14ac:dyDescent="0.2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</row>
    <row r="897" spans="2:81" ht="13.2" x14ac:dyDescent="0.2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</row>
    <row r="898" spans="2:81" ht="13.2" x14ac:dyDescent="0.2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</row>
    <row r="899" spans="2:81" ht="13.2" x14ac:dyDescent="0.2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</row>
    <row r="900" spans="2:81" ht="13.2" x14ac:dyDescent="0.2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</row>
    <row r="901" spans="2:81" ht="13.2" x14ac:dyDescent="0.2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</row>
    <row r="902" spans="2:81" ht="13.2" x14ac:dyDescent="0.2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</row>
    <row r="903" spans="2:81" ht="13.2" x14ac:dyDescent="0.2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</row>
    <row r="904" spans="2:81" ht="13.2" x14ac:dyDescent="0.2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</row>
    <row r="905" spans="2:81" ht="13.2" x14ac:dyDescent="0.2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</row>
    <row r="906" spans="2:81" ht="13.2" x14ac:dyDescent="0.2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</row>
    <row r="907" spans="2:81" ht="13.2" x14ac:dyDescent="0.2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</row>
    <row r="908" spans="2:81" ht="13.2" x14ac:dyDescent="0.2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</row>
    <row r="909" spans="2:81" ht="13.2" x14ac:dyDescent="0.2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</row>
    <row r="910" spans="2:81" ht="13.2" x14ac:dyDescent="0.2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</row>
    <row r="911" spans="2:81" ht="13.2" x14ac:dyDescent="0.2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</row>
    <row r="912" spans="2:81" ht="13.2" x14ac:dyDescent="0.2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</row>
    <row r="913" spans="2:81" ht="13.2" x14ac:dyDescent="0.2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</row>
    <row r="914" spans="2:81" ht="13.2" x14ac:dyDescent="0.2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</row>
    <row r="915" spans="2:81" ht="13.2" x14ac:dyDescent="0.2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</row>
    <row r="916" spans="2:81" ht="13.2" x14ac:dyDescent="0.2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</row>
    <row r="917" spans="2:81" ht="13.2" x14ac:dyDescent="0.2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</row>
    <row r="918" spans="2:81" ht="13.2" x14ac:dyDescent="0.2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</row>
    <row r="919" spans="2:81" ht="13.2" x14ac:dyDescent="0.2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</row>
    <row r="920" spans="2:81" ht="13.2" x14ac:dyDescent="0.2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</row>
    <row r="921" spans="2:81" ht="13.2" x14ac:dyDescent="0.2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</row>
    <row r="922" spans="2:81" ht="13.2" x14ac:dyDescent="0.2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</row>
    <row r="923" spans="2:81" ht="13.2" x14ac:dyDescent="0.2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</row>
    <row r="924" spans="2:81" ht="13.2" x14ac:dyDescent="0.2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</row>
    <row r="925" spans="2:81" ht="13.2" x14ac:dyDescent="0.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</row>
    <row r="926" spans="2:81" ht="13.2" x14ac:dyDescent="0.2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</row>
    <row r="927" spans="2:81" ht="13.2" x14ac:dyDescent="0.2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</row>
    <row r="928" spans="2:81" ht="13.2" x14ac:dyDescent="0.2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</row>
    <row r="929" spans="2:81" ht="13.2" x14ac:dyDescent="0.2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</row>
    <row r="930" spans="2:81" ht="13.2" x14ac:dyDescent="0.2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</row>
    <row r="931" spans="2:81" ht="13.2" x14ac:dyDescent="0.2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</row>
    <row r="932" spans="2:81" ht="13.2" x14ac:dyDescent="0.2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</row>
    <row r="933" spans="2:81" ht="13.2" x14ac:dyDescent="0.2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</row>
    <row r="934" spans="2:81" ht="13.2" x14ac:dyDescent="0.2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</row>
    <row r="935" spans="2:81" ht="13.2" x14ac:dyDescent="0.2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</row>
    <row r="936" spans="2:81" ht="13.2" x14ac:dyDescent="0.2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</row>
    <row r="937" spans="2:81" ht="13.2" x14ac:dyDescent="0.2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</row>
    <row r="938" spans="2:81" ht="13.2" x14ac:dyDescent="0.2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</row>
    <row r="939" spans="2:81" ht="13.2" x14ac:dyDescent="0.2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</row>
    <row r="940" spans="2:81" ht="13.2" x14ac:dyDescent="0.2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</row>
    <row r="941" spans="2:81" ht="13.2" x14ac:dyDescent="0.2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</row>
    <row r="942" spans="2:81" ht="13.2" x14ac:dyDescent="0.2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</row>
    <row r="943" spans="2:81" ht="13.2" x14ac:dyDescent="0.2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</row>
    <row r="944" spans="2:81" ht="13.2" x14ac:dyDescent="0.2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</row>
    <row r="945" spans="2:81" ht="13.2" x14ac:dyDescent="0.2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</row>
    <row r="946" spans="2:81" ht="13.2" x14ac:dyDescent="0.2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</row>
    <row r="947" spans="2:81" ht="13.2" x14ac:dyDescent="0.2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</row>
    <row r="948" spans="2:81" ht="13.2" x14ac:dyDescent="0.2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</row>
    <row r="949" spans="2:81" ht="13.2" x14ac:dyDescent="0.2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</row>
    <row r="950" spans="2:81" ht="13.2" x14ac:dyDescent="0.2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</row>
    <row r="951" spans="2:81" ht="13.2" x14ac:dyDescent="0.2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</row>
    <row r="952" spans="2:81" ht="13.2" x14ac:dyDescent="0.2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</row>
    <row r="953" spans="2:81" ht="13.2" x14ac:dyDescent="0.2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</row>
    <row r="954" spans="2:81" ht="13.2" x14ac:dyDescent="0.2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</row>
    <row r="955" spans="2:81" ht="13.2" x14ac:dyDescent="0.2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</row>
    <row r="956" spans="2:81" ht="13.2" x14ac:dyDescent="0.2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</row>
    <row r="957" spans="2:81" ht="13.2" x14ac:dyDescent="0.2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</row>
    <row r="958" spans="2:81" ht="13.2" x14ac:dyDescent="0.2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</row>
    <row r="959" spans="2:81" ht="13.2" x14ac:dyDescent="0.2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</row>
    <row r="960" spans="2:81" ht="13.2" x14ac:dyDescent="0.2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</row>
    <row r="961" spans="2:81" ht="13.2" x14ac:dyDescent="0.2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</row>
    <row r="962" spans="2:81" ht="13.2" x14ac:dyDescent="0.2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</row>
    <row r="963" spans="2:81" ht="13.2" x14ac:dyDescent="0.2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</row>
    <row r="964" spans="2:81" ht="13.2" x14ac:dyDescent="0.2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</row>
    <row r="965" spans="2:81" ht="13.2" x14ac:dyDescent="0.2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</row>
    <row r="966" spans="2:81" ht="13.2" x14ac:dyDescent="0.2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</row>
    <row r="967" spans="2:81" ht="13.2" x14ac:dyDescent="0.2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</row>
    <row r="968" spans="2:81" ht="13.2" x14ac:dyDescent="0.2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</row>
    <row r="969" spans="2:81" ht="13.2" x14ac:dyDescent="0.2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</row>
    <row r="970" spans="2:81" ht="13.2" x14ac:dyDescent="0.2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</row>
    <row r="971" spans="2:81" ht="13.2" x14ac:dyDescent="0.2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</row>
    <row r="972" spans="2:81" ht="13.2" x14ac:dyDescent="0.2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</row>
    <row r="973" spans="2:81" ht="13.2" x14ac:dyDescent="0.2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</row>
    <row r="974" spans="2:81" ht="13.2" x14ac:dyDescent="0.2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</row>
    <row r="975" spans="2:81" ht="13.2" x14ac:dyDescent="0.2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</row>
    <row r="976" spans="2:81" ht="13.2" x14ac:dyDescent="0.2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</row>
    <row r="977" spans="2:81" ht="13.2" x14ac:dyDescent="0.25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</row>
    <row r="978" spans="2:81" ht="13.2" x14ac:dyDescent="0.25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</row>
    <row r="979" spans="2:81" ht="13.2" x14ac:dyDescent="0.25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</row>
    <row r="980" spans="2:81" ht="13.2" x14ac:dyDescent="0.25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</row>
    <row r="981" spans="2:81" ht="13.2" x14ac:dyDescent="0.25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</row>
    <row r="982" spans="2:81" ht="13.2" x14ac:dyDescent="0.25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</row>
    <row r="983" spans="2:81" ht="13.2" x14ac:dyDescent="0.25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</row>
    <row r="984" spans="2:81" ht="13.2" x14ac:dyDescent="0.25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</row>
    <row r="985" spans="2:81" ht="13.2" x14ac:dyDescent="0.2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</row>
  </sheetData>
  <mergeCells count="58">
    <mergeCell ref="BW1:BX1"/>
    <mergeCell ref="BY1:BZ1"/>
    <mergeCell ref="CB1:CC1"/>
    <mergeCell ref="BB2:BE2"/>
    <mergeCell ref="BF2:BI2"/>
    <mergeCell ref="BO2:BS2"/>
    <mergeCell ref="BT2:BX2"/>
    <mergeCell ref="BY2:CC2"/>
    <mergeCell ref="BD1:BE1"/>
    <mergeCell ref="BF1:BG1"/>
    <mergeCell ref="BH1:BI1"/>
    <mergeCell ref="BO1:BP1"/>
    <mergeCell ref="BR1:BS1"/>
    <mergeCell ref="BJ2:BN2"/>
    <mergeCell ref="AV1:AW1"/>
    <mergeCell ref="AX1:AY1"/>
    <mergeCell ref="AZ1:BA1"/>
    <mergeCell ref="BB1:BC1"/>
    <mergeCell ref="BT1:BU1"/>
    <mergeCell ref="BJ1:BK1"/>
    <mergeCell ref="BM1:BN1"/>
    <mergeCell ref="AL1:AM1"/>
    <mergeCell ref="AN1:AO1"/>
    <mergeCell ref="AP1:AQ1"/>
    <mergeCell ref="AR1:AS1"/>
    <mergeCell ref="AT1:AU1"/>
    <mergeCell ref="AB1:AC1"/>
    <mergeCell ref="AD1:AE1"/>
    <mergeCell ref="AF1:AG1"/>
    <mergeCell ref="AH1:AI1"/>
    <mergeCell ref="AJ1:AK1"/>
    <mergeCell ref="R1:S1"/>
    <mergeCell ref="T1:U1"/>
    <mergeCell ref="V1:W1"/>
    <mergeCell ref="X1:Y1"/>
    <mergeCell ref="Z1:AA1"/>
    <mergeCell ref="A1:A3"/>
    <mergeCell ref="B1:C1"/>
    <mergeCell ref="D1:E1"/>
    <mergeCell ref="F1:G1"/>
    <mergeCell ref="H1:I1"/>
    <mergeCell ref="J1:K1"/>
    <mergeCell ref="L1:M1"/>
    <mergeCell ref="N1:O1"/>
    <mergeCell ref="B2:E2"/>
    <mergeCell ref="F2:I2"/>
    <mergeCell ref="J2:M2"/>
    <mergeCell ref="N2:Q2"/>
    <mergeCell ref="P1:Q1"/>
    <mergeCell ref="AL2:AO2"/>
    <mergeCell ref="AP2:AS2"/>
    <mergeCell ref="AT2:AW2"/>
    <mergeCell ref="AX2:BA2"/>
    <mergeCell ref="R2:U2"/>
    <mergeCell ref="V2:Y2"/>
    <mergeCell ref="Z2:AC2"/>
    <mergeCell ref="AD2:AG2"/>
    <mergeCell ref="AH2:AK2"/>
  </mergeCells>
  <conditionalFormatting sqref="K14:K19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A825-CB7C-425D-8682-9DA2D535A15E}">
  <sheetPr>
    <outlinePr summaryBelow="0" summaryRight="0"/>
  </sheetPr>
  <dimension ref="A1:CC982"/>
  <sheetViews>
    <sheetView showGridLines="0" tabSelected="1" topLeftCell="A7" zoomScale="145" zoomScaleNormal="145" workbookViewId="0">
      <selection activeCell="A25" sqref="A25"/>
    </sheetView>
  </sheetViews>
  <sheetFormatPr baseColWidth="10" defaultColWidth="12.6640625" defaultRowHeight="15.75" customHeight="1" x14ac:dyDescent="0.25"/>
  <cols>
    <col min="1" max="1" width="42.5546875" style="5" bestFit="1" customWidth="1"/>
    <col min="2" max="2" width="5.21875" style="22" customWidth="1"/>
    <col min="3" max="3" width="4.109375" customWidth="1"/>
    <col min="4" max="4" width="4.6640625" customWidth="1"/>
    <col min="5" max="5" width="4.33203125" customWidth="1"/>
    <col min="6" max="6" width="5.21875" style="22" customWidth="1"/>
    <col min="7" max="8" width="4.6640625" customWidth="1"/>
    <col min="9" max="9" width="4.33203125" customWidth="1"/>
    <col min="10" max="10" width="5.21875" style="22" customWidth="1"/>
    <col min="11" max="12" width="4.6640625" customWidth="1"/>
    <col min="13" max="13" width="4.33203125" customWidth="1"/>
    <col min="14" max="14" width="5.21875" style="22" customWidth="1"/>
    <col min="15" max="16" width="4.6640625" customWidth="1"/>
    <col min="17" max="17" width="4.33203125" customWidth="1"/>
    <col min="18" max="18" width="5.21875" style="22" customWidth="1"/>
    <col min="19" max="20" width="4.6640625" customWidth="1"/>
    <col min="21" max="21" width="4.33203125" customWidth="1"/>
    <col min="22" max="22" width="5.21875" style="22" customWidth="1"/>
    <col min="23" max="24" width="4.6640625" bestFit="1" customWidth="1"/>
    <col min="25" max="25" width="4.33203125" customWidth="1"/>
    <col min="26" max="26" width="5.21875" style="22" customWidth="1"/>
    <col min="27" max="28" width="4.6640625" bestFit="1" customWidth="1"/>
    <col min="29" max="29" width="4.33203125" customWidth="1"/>
    <col min="30" max="30" width="5.21875" style="22" customWidth="1"/>
    <col min="31" max="32" width="4.6640625" bestFit="1" customWidth="1"/>
    <col min="33" max="33" width="4.33203125" customWidth="1"/>
    <col min="34" max="34" width="5.21875" style="22" customWidth="1"/>
    <col min="35" max="36" width="4.6640625" bestFit="1" customWidth="1"/>
    <col min="37" max="37" width="4.33203125" customWidth="1"/>
    <col min="38" max="38" width="5.21875" style="22" customWidth="1"/>
    <col min="39" max="40" width="4.6640625" bestFit="1" customWidth="1"/>
    <col min="41" max="41" width="4.33203125" customWidth="1"/>
    <col min="42" max="42" width="5.21875" style="22" customWidth="1"/>
    <col min="43" max="44" width="4.6640625" bestFit="1" customWidth="1"/>
    <col min="45" max="45" width="4.33203125" customWidth="1"/>
    <col min="46" max="46" width="5.21875" style="22" customWidth="1"/>
    <col min="47" max="48" width="4.6640625" bestFit="1" customWidth="1"/>
    <col min="49" max="49" width="4.33203125" customWidth="1"/>
    <col min="50" max="50" width="5.21875" style="22" customWidth="1"/>
    <col min="51" max="52" width="4.6640625" bestFit="1" customWidth="1"/>
    <col min="53" max="53" width="4.33203125" customWidth="1"/>
    <col min="54" max="54" width="5.21875" style="22" customWidth="1"/>
    <col min="55" max="56" width="4.6640625" customWidth="1"/>
    <col min="57" max="57" width="4.33203125" customWidth="1"/>
    <col min="58" max="58" width="5.21875" style="22" customWidth="1"/>
    <col min="59" max="60" width="4.6640625" bestFit="1" customWidth="1"/>
    <col min="61" max="61" width="4.33203125" customWidth="1"/>
    <col min="62" max="62" width="5.6640625" bestFit="1" customWidth="1"/>
    <col min="63" max="66" width="5.33203125" customWidth="1"/>
    <col min="67" max="67" width="5.21875" style="22" customWidth="1"/>
    <col min="68" max="68" width="4.6640625" bestFit="1" customWidth="1"/>
    <col min="69" max="69" width="4.6640625" customWidth="1"/>
    <col min="70" max="70" width="4.6640625" bestFit="1" customWidth="1"/>
    <col min="71" max="71" width="4.33203125" customWidth="1"/>
    <col min="72" max="72" width="5.21875" style="22" customWidth="1"/>
    <col min="73" max="73" width="4.6640625" bestFit="1" customWidth="1"/>
    <col min="74" max="74" width="4.6640625" customWidth="1"/>
    <col min="75" max="75" width="4.6640625" bestFit="1" customWidth="1"/>
    <col min="76" max="76" width="4.33203125" customWidth="1"/>
    <col min="77" max="77" width="5.21875" style="22" customWidth="1"/>
    <col min="78" max="78" width="4.6640625" bestFit="1" customWidth="1"/>
    <col min="79" max="79" width="4.6640625" customWidth="1"/>
    <col min="80" max="80" width="4.6640625" bestFit="1" customWidth="1"/>
    <col min="81" max="81" width="4.33203125" customWidth="1"/>
  </cols>
  <sheetData>
    <row r="1" spans="1:81" ht="14.4" thickBot="1" x14ac:dyDescent="0.3">
      <c r="A1" s="286" t="s">
        <v>0</v>
      </c>
      <c r="B1" s="280">
        <v>45908</v>
      </c>
      <c r="C1" s="281"/>
      <c r="D1" s="276">
        <f>B1+6</f>
        <v>45914</v>
      </c>
      <c r="E1" s="277"/>
      <c r="F1" s="280">
        <f>B1+7</f>
        <v>45915</v>
      </c>
      <c r="G1" s="281"/>
      <c r="H1" s="276">
        <f>D1+7</f>
        <v>45921</v>
      </c>
      <c r="I1" s="277"/>
      <c r="J1" s="280">
        <f>F1+7</f>
        <v>45922</v>
      </c>
      <c r="K1" s="281"/>
      <c r="L1" s="276">
        <f>H1+7</f>
        <v>45928</v>
      </c>
      <c r="M1" s="277"/>
      <c r="N1" s="280">
        <f>J1+7</f>
        <v>45929</v>
      </c>
      <c r="O1" s="281"/>
      <c r="P1" s="276">
        <f>L1+7</f>
        <v>45935</v>
      </c>
      <c r="Q1" s="277"/>
      <c r="R1" s="280">
        <f>N1+7</f>
        <v>45936</v>
      </c>
      <c r="S1" s="281"/>
      <c r="T1" s="276">
        <f>P1+7</f>
        <v>45942</v>
      </c>
      <c r="U1" s="277"/>
      <c r="V1" s="280">
        <f>R1+7</f>
        <v>45943</v>
      </c>
      <c r="W1" s="281"/>
      <c r="X1" s="276">
        <f>T1+7</f>
        <v>45949</v>
      </c>
      <c r="Y1" s="277"/>
      <c r="Z1" s="280">
        <f>V1+7</f>
        <v>45950</v>
      </c>
      <c r="AA1" s="281"/>
      <c r="AB1" s="276">
        <f>X1+7</f>
        <v>45956</v>
      </c>
      <c r="AC1" s="277"/>
      <c r="AD1" s="280">
        <f>Z1+7</f>
        <v>45957</v>
      </c>
      <c r="AE1" s="281"/>
      <c r="AF1" s="276">
        <f>AB1+7</f>
        <v>45963</v>
      </c>
      <c r="AG1" s="277"/>
      <c r="AH1" s="280">
        <f>AD1+7</f>
        <v>45964</v>
      </c>
      <c r="AI1" s="281"/>
      <c r="AJ1" s="276">
        <f>AF1+7</f>
        <v>45970</v>
      </c>
      <c r="AK1" s="277"/>
      <c r="AL1" s="280">
        <f>AH1+7</f>
        <v>45971</v>
      </c>
      <c r="AM1" s="281"/>
      <c r="AN1" s="276">
        <f>AJ1+7</f>
        <v>45977</v>
      </c>
      <c r="AO1" s="277"/>
      <c r="AP1" s="280">
        <f>AL1+7</f>
        <v>45978</v>
      </c>
      <c r="AQ1" s="281"/>
      <c r="AR1" s="276">
        <f>AN1+7</f>
        <v>45984</v>
      </c>
      <c r="AS1" s="285"/>
      <c r="AT1" s="280">
        <f>AP1+7</f>
        <v>45985</v>
      </c>
      <c r="AU1" s="281"/>
      <c r="AV1" s="276">
        <f>AR1+7</f>
        <v>45991</v>
      </c>
      <c r="AW1" s="277"/>
      <c r="AX1" s="280">
        <f>AT1+7</f>
        <v>45992</v>
      </c>
      <c r="AY1" s="281"/>
      <c r="AZ1" s="276">
        <f>AV1+7</f>
        <v>45998</v>
      </c>
      <c r="BA1" s="277"/>
      <c r="BB1" s="280">
        <f>AX1+7</f>
        <v>45999</v>
      </c>
      <c r="BC1" s="281"/>
      <c r="BD1" s="276">
        <f>AZ1+7</f>
        <v>46005</v>
      </c>
      <c r="BE1" s="277"/>
      <c r="BF1" s="280">
        <v>46034</v>
      </c>
      <c r="BG1" s="281"/>
      <c r="BH1" s="276">
        <f>BF1+6</f>
        <v>46040</v>
      </c>
      <c r="BI1" s="277"/>
      <c r="BJ1" s="280">
        <f>BF1+7</f>
        <v>46041</v>
      </c>
      <c r="BK1" s="281"/>
      <c r="BL1" s="74"/>
      <c r="BM1" s="276">
        <f>BH1+7</f>
        <v>46047</v>
      </c>
      <c r="BN1" s="285"/>
      <c r="BO1" s="280">
        <f>BJ1+7</f>
        <v>46048</v>
      </c>
      <c r="BP1" s="281"/>
      <c r="BQ1" s="74"/>
      <c r="BR1" s="276">
        <f>BM1+7</f>
        <v>46054</v>
      </c>
      <c r="BS1" s="285"/>
      <c r="BT1" s="280">
        <f>BO1+7</f>
        <v>46055</v>
      </c>
      <c r="BU1" s="281"/>
      <c r="BV1" s="74"/>
      <c r="BW1" s="276">
        <f>BR1+7</f>
        <v>46061</v>
      </c>
      <c r="BX1" s="277"/>
      <c r="BY1" s="280">
        <f>BT1+7</f>
        <v>46062</v>
      </c>
      <c r="BZ1" s="281"/>
      <c r="CA1" s="74"/>
      <c r="CB1" s="276">
        <f>BW1+7</f>
        <v>46068</v>
      </c>
      <c r="CC1" s="277"/>
    </row>
    <row r="2" spans="1:81" ht="13.8" thickBot="1" x14ac:dyDescent="0.3">
      <c r="A2" s="289"/>
      <c r="B2" s="273" t="s">
        <v>1</v>
      </c>
      <c r="C2" s="274"/>
      <c r="D2" s="274"/>
      <c r="E2" s="275"/>
      <c r="F2" s="273" t="s">
        <v>2</v>
      </c>
      <c r="G2" s="274"/>
      <c r="H2" s="274"/>
      <c r="I2" s="275"/>
      <c r="J2" s="273" t="s">
        <v>3</v>
      </c>
      <c r="K2" s="274"/>
      <c r="L2" s="274"/>
      <c r="M2" s="275"/>
      <c r="N2" s="273" t="s">
        <v>4</v>
      </c>
      <c r="O2" s="274"/>
      <c r="P2" s="274"/>
      <c r="Q2" s="275"/>
      <c r="R2" s="273" t="s">
        <v>5</v>
      </c>
      <c r="S2" s="274"/>
      <c r="T2" s="274"/>
      <c r="U2" s="275"/>
      <c r="V2" s="273" t="s">
        <v>6</v>
      </c>
      <c r="W2" s="274"/>
      <c r="X2" s="274"/>
      <c r="Y2" s="275"/>
      <c r="Z2" s="273" t="s">
        <v>7</v>
      </c>
      <c r="AA2" s="274"/>
      <c r="AB2" s="274"/>
      <c r="AC2" s="275"/>
      <c r="AD2" s="273" t="s">
        <v>8</v>
      </c>
      <c r="AE2" s="274"/>
      <c r="AF2" s="274"/>
      <c r="AG2" s="275"/>
      <c r="AH2" s="273" t="s">
        <v>9</v>
      </c>
      <c r="AI2" s="274"/>
      <c r="AJ2" s="274"/>
      <c r="AK2" s="275"/>
      <c r="AL2" s="273" t="s">
        <v>10</v>
      </c>
      <c r="AM2" s="274"/>
      <c r="AN2" s="274"/>
      <c r="AO2" s="275"/>
      <c r="AP2" s="273" t="s">
        <v>11</v>
      </c>
      <c r="AQ2" s="274"/>
      <c r="AR2" s="274"/>
      <c r="AS2" s="275"/>
      <c r="AT2" s="273" t="s">
        <v>43</v>
      </c>
      <c r="AU2" s="274"/>
      <c r="AV2" s="274"/>
      <c r="AW2" s="275"/>
      <c r="AX2" s="273" t="s">
        <v>44</v>
      </c>
      <c r="AY2" s="274"/>
      <c r="AZ2" s="274"/>
      <c r="BA2" s="275"/>
      <c r="BB2" s="273" t="s">
        <v>45</v>
      </c>
      <c r="BC2" s="274"/>
      <c r="BD2" s="274"/>
      <c r="BE2" s="275"/>
      <c r="BF2" s="273" t="s">
        <v>46</v>
      </c>
      <c r="BG2" s="274"/>
      <c r="BH2" s="274"/>
      <c r="BI2" s="275"/>
      <c r="BJ2" s="273" t="s">
        <v>67</v>
      </c>
      <c r="BK2" s="274"/>
      <c r="BL2" s="274"/>
      <c r="BM2" s="274"/>
      <c r="BN2" s="275"/>
      <c r="BO2" s="273" t="s">
        <v>73</v>
      </c>
      <c r="BP2" s="274"/>
      <c r="BQ2" s="274"/>
      <c r="BR2" s="274"/>
      <c r="BS2" s="275"/>
      <c r="BT2" s="273" t="s">
        <v>72</v>
      </c>
      <c r="BU2" s="274"/>
      <c r="BV2" s="274"/>
      <c r="BW2" s="274"/>
      <c r="BX2" s="275"/>
      <c r="BY2" s="278" t="s">
        <v>71</v>
      </c>
      <c r="BZ2" s="274"/>
      <c r="CA2" s="274"/>
      <c r="CB2" s="274"/>
      <c r="CC2" s="275"/>
    </row>
    <row r="3" spans="1:81" ht="13.8" thickBot="1" x14ac:dyDescent="0.3">
      <c r="A3" s="290"/>
      <c r="B3" s="63">
        <v>1</v>
      </c>
      <c r="C3" s="64">
        <v>2</v>
      </c>
      <c r="D3" s="64">
        <v>3</v>
      </c>
      <c r="E3" s="65">
        <v>4</v>
      </c>
      <c r="F3" s="63">
        <v>1</v>
      </c>
      <c r="G3" s="64">
        <v>2</v>
      </c>
      <c r="H3" s="64">
        <v>3</v>
      </c>
      <c r="I3" s="65">
        <v>4</v>
      </c>
      <c r="J3" s="63">
        <v>1</v>
      </c>
      <c r="K3" s="64">
        <v>2</v>
      </c>
      <c r="L3" s="64">
        <v>3</v>
      </c>
      <c r="M3" s="65">
        <v>4</v>
      </c>
      <c r="N3" s="63">
        <v>1</v>
      </c>
      <c r="O3" s="64">
        <v>2</v>
      </c>
      <c r="P3" s="64">
        <v>3</v>
      </c>
      <c r="Q3" s="65">
        <v>4</v>
      </c>
      <c r="R3" s="63">
        <v>1</v>
      </c>
      <c r="S3" s="64">
        <v>2</v>
      </c>
      <c r="T3" s="64">
        <v>3</v>
      </c>
      <c r="U3" s="65">
        <v>4</v>
      </c>
      <c r="V3" s="63">
        <v>1</v>
      </c>
      <c r="W3" s="64">
        <v>2</v>
      </c>
      <c r="X3" s="64">
        <v>3</v>
      </c>
      <c r="Y3" s="65">
        <v>4</v>
      </c>
      <c r="Z3" s="63">
        <v>1</v>
      </c>
      <c r="AA3" s="64">
        <v>2</v>
      </c>
      <c r="AB3" s="64">
        <v>3</v>
      </c>
      <c r="AC3" s="65">
        <v>4</v>
      </c>
      <c r="AD3" s="63">
        <v>1</v>
      </c>
      <c r="AE3" s="64">
        <v>2</v>
      </c>
      <c r="AF3" s="64">
        <v>3</v>
      </c>
      <c r="AG3" s="65">
        <v>4</v>
      </c>
      <c r="AH3" s="63">
        <v>1</v>
      </c>
      <c r="AI3" s="64">
        <v>2</v>
      </c>
      <c r="AJ3" s="64">
        <v>3</v>
      </c>
      <c r="AK3" s="65">
        <v>4</v>
      </c>
      <c r="AL3" s="63">
        <v>1</v>
      </c>
      <c r="AM3" s="64">
        <v>2</v>
      </c>
      <c r="AN3" s="64">
        <v>3</v>
      </c>
      <c r="AO3" s="65">
        <v>4</v>
      </c>
      <c r="AP3" s="63">
        <v>1</v>
      </c>
      <c r="AQ3" s="64">
        <v>2</v>
      </c>
      <c r="AR3" s="64">
        <v>3</v>
      </c>
      <c r="AS3" s="65">
        <v>4</v>
      </c>
      <c r="AT3" s="63">
        <v>1</v>
      </c>
      <c r="AU3" s="64">
        <v>2</v>
      </c>
      <c r="AV3" s="64">
        <v>3</v>
      </c>
      <c r="AW3" s="65">
        <v>4</v>
      </c>
      <c r="AX3" s="63">
        <v>1</v>
      </c>
      <c r="AY3" s="64">
        <v>2</v>
      </c>
      <c r="AZ3" s="64">
        <v>3</v>
      </c>
      <c r="BA3" s="65">
        <v>4</v>
      </c>
      <c r="BB3" s="63">
        <v>1</v>
      </c>
      <c r="BC3" s="64">
        <v>2</v>
      </c>
      <c r="BD3" s="64">
        <v>3</v>
      </c>
      <c r="BE3" s="65">
        <v>4</v>
      </c>
      <c r="BF3" s="63">
        <v>1</v>
      </c>
      <c r="BG3" s="64">
        <v>2</v>
      </c>
      <c r="BH3" s="64">
        <v>3</v>
      </c>
      <c r="BI3" s="65">
        <v>4</v>
      </c>
      <c r="BJ3" s="63">
        <v>1</v>
      </c>
      <c r="BK3" s="64">
        <v>2</v>
      </c>
      <c r="BL3" s="64">
        <v>3</v>
      </c>
      <c r="BM3" s="64">
        <v>4</v>
      </c>
      <c r="BN3" s="65">
        <v>5</v>
      </c>
      <c r="BO3" s="63">
        <v>1</v>
      </c>
      <c r="BP3" s="64">
        <v>2</v>
      </c>
      <c r="BQ3" s="64">
        <v>3</v>
      </c>
      <c r="BR3" s="64">
        <v>4</v>
      </c>
      <c r="BS3" s="65">
        <v>5</v>
      </c>
      <c r="BT3" s="63">
        <v>1</v>
      </c>
      <c r="BU3" s="64">
        <v>2</v>
      </c>
      <c r="BV3" s="64">
        <v>3</v>
      </c>
      <c r="BW3" s="64">
        <v>4</v>
      </c>
      <c r="BX3" s="65">
        <v>5</v>
      </c>
      <c r="BY3" s="63">
        <v>1</v>
      </c>
      <c r="BZ3" s="64">
        <v>2</v>
      </c>
      <c r="CA3" s="64">
        <v>3</v>
      </c>
      <c r="CB3" s="64">
        <v>4</v>
      </c>
      <c r="CC3" s="65">
        <v>5</v>
      </c>
    </row>
    <row r="4" spans="1:81" s="6" customFormat="1" ht="13.8" thickTop="1" x14ac:dyDescent="0.25">
      <c r="A4" s="66" t="s">
        <v>62</v>
      </c>
      <c r="B4" s="71" t="s">
        <v>12</v>
      </c>
      <c r="C4" s="32"/>
      <c r="D4" s="32"/>
      <c r="E4" s="72"/>
      <c r="F4" s="71" t="s">
        <v>12</v>
      </c>
      <c r="G4" s="32"/>
      <c r="H4" s="32"/>
      <c r="I4" s="72"/>
      <c r="J4" s="71" t="s">
        <v>12</v>
      </c>
      <c r="K4" s="32"/>
      <c r="L4" s="32"/>
      <c r="M4" s="72"/>
      <c r="N4" s="71" t="s">
        <v>13</v>
      </c>
      <c r="O4" s="32"/>
      <c r="P4" s="32"/>
      <c r="Q4" s="72"/>
      <c r="R4" s="71" t="s">
        <v>12</v>
      </c>
      <c r="S4" s="32"/>
      <c r="T4" s="32"/>
      <c r="U4" s="72"/>
      <c r="V4" s="71" t="s">
        <v>13</v>
      </c>
      <c r="W4" s="32"/>
      <c r="X4" s="32"/>
      <c r="Y4" s="72"/>
      <c r="Z4" s="71" t="s">
        <v>12</v>
      </c>
      <c r="AA4" s="32"/>
      <c r="AB4" s="32"/>
      <c r="AC4" s="260"/>
      <c r="AD4" s="254" t="s">
        <v>12</v>
      </c>
      <c r="AE4" s="255"/>
      <c r="AF4" s="255"/>
      <c r="AG4" s="256"/>
      <c r="AH4" s="249" t="s">
        <v>18</v>
      </c>
      <c r="AI4" s="32"/>
      <c r="AJ4" s="32"/>
      <c r="AK4" s="72"/>
      <c r="AL4" s="71" t="s">
        <v>12</v>
      </c>
      <c r="AM4" s="32" t="s">
        <v>14</v>
      </c>
      <c r="AN4" s="32"/>
      <c r="AO4" s="72"/>
      <c r="AP4" s="71" t="s">
        <v>12</v>
      </c>
      <c r="AQ4" s="32"/>
      <c r="AR4" s="32"/>
      <c r="AS4" s="72"/>
      <c r="AT4" s="71" t="s">
        <v>12</v>
      </c>
      <c r="AU4" s="32"/>
      <c r="AV4" s="32"/>
      <c r="AW4" s="72"/>
      <c r="AX4" s="71" t="s">
        <v>12</v>
      </c>
      <c r="AY4" s="32"/>
      <c r="AZ4" s="32"/>
      <c r="BA4" s="72"/>
      <c r="BB4" s="71" t="s">
        <v>14</v>
      </c>
      <c r="BC4" s="32"/>
      <c r="BD4" s="32"/>
      <c r="BE4" s="72"/>
      <c r="BF4" s="71" t="s">
        <v>18</v>
      </c>
      <c r="BG4" s="32"/>
      <c r="BH4" s="32"/>
      <c r="BI4" s="72"/>
      <c r="BJ4" s="76"/>
      <c r="BK4" s="10"/>
      <c r="BL4" s="10"/>
      <c r="BM4" s="10"/>
      <c r="BN4" s="77"/>
      <c r="BO4" s="71"/>
      <c r="BP4" s="32"/>
      <c r="BQ4" s="32"/>
      <c r="BR4" s="32"/>
      <c r="BS4" s="72"/>
      <c r="BT4" s="114" t="s">
        <v>48</v>
      </c>
      <c r="BU4" s="32"/>
      <c r="BV4" s="32"/>
      <c r="BW4" s="32"/>
      <c r="BX4" s="72"/>
      <c r="BY4" s="114" t="s">
        <v>48</v>
      </c>
      <c r="BZ4" s="32"/>
      <c r="CA4" s="32"/>
      <c r="CB4" s="32"/>
      <c r="CC4" s="72"/>
    </row>
    <row r="5" spans="1:81" s="8" customFormat="1" ht="13.2" x14ac:dyDescent="0.25">
      <c r="A5" s="67" t="s">
        <v>20</v>
      </c>
      <c r="B5" s="50" t="s">
        <v>12</v>
      </c>
      <c r="C5" s="1" t="s">
        <v>49</v>
      </c>
      <c r="D5" s="1"/>
      <c r="E5" s="51"/>
      <c r="F5" s="50" t="s">
        <v>12</v>
      </c>
      <c r="G5" s="1" t="s">
        <v>49</v>
      </c>
      <c r="H5" s="1"/>
      <c r="I5" s="51"/>
      <c r="J5" s="50" t="s">
        <v>12</v>
      </c>
      <c r="K5" s="1" t="s">
        <v>49</v>
      </c>
      <c r="L5" s="1"/>
      <c r="M5" s="51"/>
      <c r="N5" s="50" t="s">
        <v>12</v>
      </c>
      <c r="O5" s="1" t="s">
        <v>49</v>
      </c>
      <c r="P5" s="1"/>
      <c r="Q5" s="51"/>
      <c r="R5" s="50" t="s">
        <v>12</v>
      </c>
      <c r="S5" s="1" t="s">
        <v>49</v>
      </c>
      <c r="T5" s="1"/>
      <c r="U5" s="51"/>
      <c r="V5" s="50" t="s">
        <v>13</v>
      </c>
      <c r="W5" s="1" t="s">
        <v>49</v>
      </c>
      <c r="X5" s="1"/>
      <c r="Y5" s="51"/>
      <c r="Z5" s="102" t="s">
        <v>18</v>
      </c>
      <c r="AA5" s="1" t="s">
        <v>12</v>
      </c>
      <c r="AB5" s="1"/>
      <c r="AC5" s="248"/>
      <c r="AD5" s="50" t="s">
        <v>49</v>
      </c>
      <c r="AE5" s="62" t="s">
        <v>12</v>
      </c>
      <c r="AF5" s="1"/>
      <c r="AG5" s="51"/>
      <c r="AH5" s="250" t="s">
        <v>49</v>
      </c>
      <c r="AI5" s="180" t="s">
        <v>12</v>
      </c>
      <c r="AJ5" s="1" t="s">
        <v>49</v>
      </c>
      <c r="AK5" s="51"/>
      <c r="AL5" s="50" t="s">
        <v>12</v>
      </c>
      <c r="AM5" s="1" t="s">
        <v>49</v>
      </c>
      <c r="AN5" s="1" t="s">
        <v>49</v>
      </c>
      <c r="AO5" s="51"/>
      <c r="AP5" s="1" t="s">
        <v>49</v>
      </c>
      <c r="AQ5" s="1" t="s">
        <v>12</v>
      </c>
      <c r="AR5" s="1" t="s">
        <v>49</v>
      </c>
      <c r="AS5" s="51"/>
      <c r="AT5" s="50" t="s">
        <v>12</v>
      </c>
      <c r="AU5" s="1" t="s">
        <v>49</v>
      </c>
      <c r="AV5" s="102" t="s">
        <v>18</v>
      </c>
      <c r="AW5" s="51"/>
      <c r="AX5" s="50" t="s">
        <v>12</v>
      </c>
      <c r="AY5" s="1" t="s">
        <v>49</v>
      </c>
      <c r="AZ5" s="1"/>
      <c r="BA5" s="51"/>
      <c r="BB5" s="1" t="s">
        <v>12</v>
      </c>
      <c r="BC5" s="1" t="s">
        <v>49</v>
      </c>
      <c r="BD5" s="1" t="s">
        <v>49</v>
      </c>
      <c r="BE5" s="51"/>
      <c r="BF5" s="1" t="s">
        <v>49</v>
      </c>
      <c r="BG5" s="102" t="s">
        <v>16</v>
      </c>
      <c r="BH5" s="102" t="s">
        <v>16</v>
      </c>
      <c r="BI5" s="51"/>
      <c r="BJ5" s="78"/>
      <c r="BK5" s="15"/>
      <c r="BL5" s="15"/>
      <c r="BM5" s="15"/>
      <c r="BN5" s="79"/>
      <c r="BO5" s="50"/>
      <c r="BP5" s="1"/>
      <c r="BQ5" s="1"/>
      <c r="BR5" s="1"/>
      <c r="BS5" s="51"/>
      <c r="BT5" s="50"/>
      <c r="BU5" s="1"/>
      <c r="BV5" s="1"/>
      <c r="BW5" s="113" t="s">
        <v>48</v>
      </c>
      <c r="BX5" s="51"/>
      <c r="BY5" s="50"/>
      <c r="BZ5" s="1"/>
      <c r="CA5" s="1"/>
      <c r="CB5" s="113" t="s">
        <v>48</v>
      </c>
      <c r="CC5" s="51"/>
    </row>
    <row r="6" spans="1:81" s="4" customFormat="1" ht="13.2" x14ac:dyDescent="0.25">
      <c r="A6" s="68" t="s">
        <v>32</v>
      </c>
      <c r="B6" s="50" t="s">
        <v>12</v>
      </c>
      <c r="C6" s="1" t="s">
        <v>12</v>
      </c>
      <c r="D6" s="1" t="s">
        <v>18</v>
      </c>
      <c r="E6" s="51"/>
      <c r="F6" s="50" t="s">
        <v>13</v>
      </c>
      <c r="G6" s="1" t="s">
        <v>18</v>
      </c>
      <c r="H6" s="1" t="s">
        <v>14</v>
      </c>
      <c r="I6" s="51"/>
      <c r="J6" s="50" t="s">
        <v>12</v>
      </c>
      <c r="K6" s="1" t="s">
        <v>12</v>
      </c>
      <c r="L6" s="1"/>
      <c r="M6" s="51"/>
      <c r="N6" s="50" t="s">
        <v>14</v>
      </c>
      <c r="O6" s="1" t="s">
        <v>18</v>
      </c>
      <c r="P6" s="1"/>
      <c r="Q6" s="51"/>
      <c r="R6" s="50" t="s">
        <v>12</v>
      </c>
      <c r="S6" s="1" t="s">
        <v>18</v>
      </c>
      <c r="T6" s="1" t="s">
        <v>13</v>
      </c>
      <c r="U6" s="51"/>
      <c r="V6" s="50" t="s">
        <v>18</v>
      </c>
      <c r="W6" s="1" t="s">
        <v>13</v>
      </c>
      <c r="X6" s="1"/>
      <c r="Y6" s="51"/>
      <c r="Z6" s="50" t="s">
        <v>18</v>
      </c>
      <c r="AA6" s="1" t="s">
        <v>14</v>
      </c>
      <c r="AB6" s="1"/>
      <c r="AC6" s="248"/>
      <c r="AD6" s="264" t="s">
        <v>18</v>
      </c>
      <c r="AE6" s="14"/>
      <c r="AF6" s="180"/>
      <c r="AG6" s="263"/>
      <c r="AH6" s="180" t="s">
        <v>12</v>
      </c>
      <c r="AI6" s="1" t="s">
        <v>18</v>
      </c>
      <c r="AJ6" s="1" t="s">
        <v>13</v>
      </c>
      <c r="AK6" s="51"/>
      <c r="AL6" s="50" t="s">
        <v>18</v>
      </c>
      <c r="AM6" s="1" t="s">
        <v>14</v>
      </c>
      <c r="AN6" s="1" t="s">
        <v>14</v>
      </c>
      <c r="AO6" s="51"/>
      <c r="AP6" s="50" t="s">
        <v>12</v>
      </c>
      <c r="AQ6" s="1" t="s">
        <v>14</v>
      </c>
      <c r="AR6" s="1" t="s">
        <v>18</v>
      </c>
      <c r="AS6" s="51"/>
      <c r="AT6" s="102" t="s">
        <v>18</v>
      </c>
      <c r="AU6" s="1" t="s">
        <v>18</v>
      </c>
      <c r="AV6" s="1"/>
      <c r="AW6" s="51"/>
      <c r="AX6" s="50" t="s">
        <v>12</v>
      </c>
      <c r="AY6" s="1" t="s">
        <v>49</v>
      </c>
      <c r="AZ6" s="1" t="s">
        <v>49</v>
      </c>
      <c r="BA6" s="51"/>
      <c r="BB6" s="50" t="s">
        <v>18</v>
      </c>
      <c r="BC6" s="1" t="s">
        <v>49</v>
      </c>
      <c r="BD6" s="1"/>
      <c r="BE6" s="51"/>
      <c r="BF6" s="50" t="s">
        <v>18</v>
      </c>
      <c r="BG6" s="1" t="s">
        <v>18</v>
      </c>
      <c r="BH6" s="1"/>
      <c r="BI6" s="51"/>
      <c r="BJ6" s="116"/>
      <c r="BK6" s="82"/>
      <c r="BL6" s="82"/>
      <c r="BM6" s="82"/>
      <c r="BN6" s="117"/>
      <c r="BO6" s="50"/>
      <c r="BP6" s="113" t="s">
        <v>54</v>
      </c>
      <c r="BQ6" s="113" t="s">
        <v>54</v>
      </c>
      <c r="BR6" s="1"/>
      <c r="BS6" s="51"/>
      <c r="BT6" s="50"/>
      <c r="BU6" s="1"/>
      <c r="BV6" s="1"/>
      <c r="BW6" s="1"/>
      <c r="BX6" s="51"/>
      <c r="BY6" s="50"/>
      <c r="BZ6" s="1"/>
      <c r="CA6" s="113" t="s">
        <v>54</v>
      </c>
      <c r="CB6" s="1"/>
      <c r="CC6" s="51"/>
    </row>
    <row r="7" spans="1:81" ht="13.2" x14ac:dyDescent="0.25">
      <c r="A7" s="69" t="s">
        <v>39</v>
      </c>
      <c r="B7" s="50" t="s">
        <v>12</v>
      </c>
      <c r="C7" s="1" t="s">
        <v>14</v>
      </c>
      <c r="D7" s="1"/>
      <c r="E7" s="51"/>
      <c r="F7" s="50" t="s">
        <v>12</v>
      </c>
      <c r="G7" s="1" t="s">
        <v>14</v>
      </c>
      <c r="H7" s="1"/>
      <c r="I7" s="51"/>
      <c r="J7" s="50" t="s">
        <v>13</v>
      </c>
      <c r="K7" s="1" t="s">
        <v>12</v>
      </c>
      <c r="L7" s="1"/>
      <c r="M7" s="51"/>
      <c r="N7" s="50" t="s">
        <v>14</v>
      </c>
      <c r="O7" s="1" t="s">
        <v>49</v>
      </c>
      <c r="P7" s="1" t="s">
        <v>12</v>
      </c>
      <c r="Q7" s="51"/>
      <c r="R7" s="50" t="s">
        <v>49</v>
      </c>
      <c r="S7" s="1" t="s">
        <v>49</v>
      </c>
      <c r="T7" s="1"/>
      <c r="U7" s="51"/>
      <c r="V7" s="50" t="s">
        <v>12</v>
      </c>
      <c r="W7" s="1" t="s">
        <v>49</v>
      </c>
      <c r="X7" s="1" t="s">
        <v>14</v>
      </c>
      <c r="Y7" s="51"/>
      <c r="Z7" s="1" t="s">
        <v>12</v>
      </c>
      <c r="AA7" s="175" t="s">
        <v>49</v>
      </c>
      <c r="AB7" s="243" t="s">
        <v>15</v>
      </c>
      <c r="AD7" s="50" t="s">
        <v>12</v>
      </c>
      <c r="AE7" s="265" t="s">
        <v>13</v>
      </c>
      <c r="AF7" s="175" t="s">
        <v>49</v>
      </c>
      <c r="AG7" s="51"/>
      <c r="AH7" s="180" t="s">
        <v>12</v>
      </c>
      <c r="AI7" s="1" t="s">
        <v>49</v>
      </c>
      <c r="AJ7" s="1"/>
      <c r="AK7" s="51"/>
      <c r="AL7" s="50" t="s">
        <v>12</v>
      </c>
      <c r="AM7" s="1" t="s">
        <v>14</v>
      </c>
      <c r="AN7" s="1"/>
      <c r="AO7" s="51"/>
      <c r="AP7" s="50" t="s">
        <v>49</v>
      </c>
      <c r="AQ7" s="1" t="s">
        <v>12</v>
      </c>
      <c r="AR7" s="1"/>
      <c r="AS7" s="51"/>
      <c r="AT7" s="50" t="s">
        <v>14</v>
      </c>
      <c r="AU7" s="1" t="s">
        <v>14</v>
      </c>
      <c r="AV7" s="1"/>
      <c r="AW7" s="51"/>
      <c r="AX7" s="102" t="s">
        <v>15</v>
      </c>
      <c r="AY7" s="1" t="s">
        <v>12</v>
      </c>
      <c r="AZ7" s="1"/>
      <c r="BA7" s="51"/>
      <c r="BB7" s="50" t="s">
        <v>14</v>
      </c>
      <c r="BC7" s="1" t="s">
        <v>49</v>
      </c>
      <c r="BD7" s="1" t="s">
        <v>13</v>
      </c>
      <c r="BE7" s="51"/>
      <c r="BF7" s="50" t="s">
        <v>14</v>
      </c>
      <c r="BG7" s="102" t="s">
        <v>16</v>
      </c>
      <c r="BH7" s="102" t="s">
        <v>16</v>
      </c>
      <c r="BI7" s="51"/>
      <c r="BJ7" s="116"/>
      <c r="BK7" s="82"/>
      <c r="BL7" s="82"/>
      <c r="BM7" s="82"/>
      <c r="BN7" s="117"/>
      <c r="BO7" s="50"/>
      <c r="BP7" s="1"/>
      <c r="BQ7" s="1"/>
      <c r="BR7" s="1"/>
      <c r="BS7" s="51"/>
      <c r="BT7" s="50"/>
      <c r="BU7" s="1"/>
      <c r="BV7" s="1"/>
      <c r="BW7" s="1"/>
      <c r="BX7" s="105" t="s">
        <v>48</v>
      </c>
      <c r="BY7" s="50"/>
      <c r="BZ7" s="1"/>
      <c r="CB7" s="1"/>
      <c r="CC7" s="105" t="s">
        <v>48</v>
      </c>
    </row>
    <row r="8" spans="1:81" s="8" customFormat="1" ht="13.2" x14ac:dyDescent="0.25">
      <c r="A8" s="70" t="s">
        <v>33</v>
      </c>
      <c r="B8" s="50" t="s">
        <v>12</v>
      </c>
      <c r="C8" s="1" t="s">
        <v>14</v>
      </c>
      <c r="D8" s="1" t="s">
        <v>12</v>
      </c>
      <c r="E8" s="51"/>
      <c r="F8" s="50" t="s">
        <v>14</v>
      </c>
      <c r="G8" s="1" t="s">
        <v>49</v>
      </c>
      <c r="H8" s="1"/>
      <c r="I8" s="51"/>
      <c r="J8" s="50" t="s">
        <v>12</v>
      </c>
      <c r="K8" s="1" t="s">
        <v>14</v>
      </c>
      <c r="L8" s="1"/>
      <c r="M8" s="51"/>
      <c r="N8" s="50" t="s">
        <v>49</v>
      </c>
      <c r="O8" s="1" t="s">
        <v>12</v>
      </c>
      <c r="P8" s="1"/>
      <c r="Q8" s="51"/>
      <c r="R8" s="50" t="s">
        <v>14</v>
      </c>
      <c r="S8" s="1" t="s">
        <v>49</v>
      </c>
      <c r="T8" s="1" t="s">
        <v>12</v>
      </c>
      <c r="U8" s="51"/>
      <c r="V8" s="50" t="s">
        <v>14</v>
      </c>
      <c r="W8" s="1" t="s">
        <v>49</v>
      </c>
      <c r="X8" s="1" t="s">
        <v>14</v>
      </c>
      <c r="Y8" s="51"/>
      <c r="Z8" s="248" t="s">
        <v>12</v>
      </c>
      <c r="AA8" s="14" t="s">
        <v>14</v>
      </c>
      <c r="AB8" s="180" t="s">
        <v>49</v>
      </c>
      <c r="AC8" s="248"/>
      <c r="AD8" s="257" t="s">
        <v>49</v>
      </c>
      <c r="AE8" s="258" t="s">
        <v>49</v>
      </c>
      <c r="AF8" s="259" t="s">
        <v>15</v>
      </c>
      <c r="AG8" s="46"/>
      <c r="AH8" s="180" t="s">
        <v>12</v>
      </c>
      <c r="AI8" s="1" t="s">
        <v>14</v>
      </c>
      <c r="AK8" s="51"/>
      <c r="AL8" s="50" t="s">
        <v>49</v>
      </c>
      <c r="AM8" s="1" t="s">
        <v>49</v>
      </c>
      <c r="AN8" s="1" t="s">
        <v>13</v>
      </c>
      <c r="AO8" s="51"/>
      <c r="AP8" s="50" t="s">
        <v>49</v>
      </c>
      <c r="AQ8" s="1" t="s">
        <v>12</v>
      </c>
      <c r="AR8" s="1" t="s">
        <v>14</v>
      </c>
      <c r="AS8" s="51"/>
      <c r="AT8" s="50" t="s">
        <v>49</v>
      </c>
      <c r="AU8" s="1" t="s">
        <v>49</v>
      </c>
      <c r="AV8" s="1" t="s">
        <v>13</v>
      </c>
      <c r="AW8" s="51"/>
      <c r="AX8" s="50" t="s">
        <v>12</v>
      </c>
      <c r="AY8" s="1" t="s">
        <v>14</v>
      </c>
      <c r="AZ8" s="1" t="s">
        <v>49</v>
      </c>
      <c r="BA8" s="51"/>
      <c r="BB8" s="50" t="s">
        <v>14</v>
      </c>
      <c r="BC8" s="1" t="s">
        <v>49</v>
      </c>
      <c r="BD8" s="1" t="s">
        <v>14</v>
      </c>
      <c r="BE8" s="51"/>
      <c r="BF8" s="102" t="s">
        <v>16</v>
      </c>
      <c r="BG8" s="102" t="s">
        <v>16</v>
      </c>
      <c r="BH8" s="1"/>
      <c r="BI8" s="51"/>
      <c r="BJ8" s="167"/>
      <c r="BK8" s="14"/>
      <c r="BL8" s="14"/>
      <c r="BM8" s="14"/>
      <c r="BN8" s="34"/>
      <c r="BO8" s="50"/>
      <c r="BP8" s="1"/>
      <c r="BQ8" s="1"/>
      <c r="BR8" s="1"/>
      <c r="BS8" s="51"/>
      <c r="BT8" s="50"/>
      <c r="BU8" s="1"/>
      <c r="BV8" s="113" t="s">
        <v>48</v>
      </c>
      <c r="BW8" s="1"/>
      <c r="BX8" s="51"/>
      <c r="BY8" s="50"/>
      <c r="BZ8" s="1"/>
      <c r="CA8" s="113" t="s">
        <v>48</v>
      </c>
      <c r="CB8" s="1"/>
      <c r="CC8" s="51"/>
    </row>
    <row r="9" spans="1:81" s="8" customFormat="1" ht="13.2" x14ac:dyDescent="0.25">
      <c r="A9" s="70" t="s">
        <v>38</v>
      </c>
      <c r="B9" s="50" t="s">
        <v>12</v>
      </c>
      <c r="C9" s="1"/>
      <c r="D9" s="1"/>
      <c r="E9" s="51"/>
      <c r="F9" s="50" t="s">
        <v>13</v>
      </c>
      <c r="G9" s="1"/>
      <c r="H9" s="1"/>
      <c r="I9" s="51"/>
      <c r="J9" s="50" t="s">
        <v>12</v>
      </c>
      <c r="K9" s="1"/>
      <c r="L9" s="1"/>
      <c r="M9" s="51"/>
      <c r="N9" s="50" t="s">
        <v>13</v>
      </c>
      <c r="O9" s="1"/>
      <c r="P9" s="1"/>
      <c r="Q9" s="51"/>
      <c r="R9" s="50" t="s">
        <v>12</v>
      </c>
      <c r="S9" s="1"/>
      <c r="T9" s="1"/>
      <c r="U9" s="51"/>
      <c r="V9" s="50" t="s">
        <v>13</v>
      </c>
      <c r="W9" s="1"/>
      <c r="X9" s="1"/>
      <c r="Y9" s="51"/>
      <c r="Z9" s="50" t="s">
        <v>12</v>
      </c>
      <c r="AA9" s="247"/>
      <c r="AB9" s="1"/>
      <c r="AC9" s="248"/>
      <c r="AD9" s="33" t="s">
        <v>13</v>
      </c>
      <c r="AE9" s="14"/>
      <c r="AF9" s="14"/>
      <c r="AG9" s="34"/>
      <c r="AH9" s="180" t="s">
        <v>12</v>
      </c>
      <c r="AI9" s="1"/>
      <c r="AJ9" s="1"/>
      <c r="AK9" s="51"/>
      <c r="AL9" s="50" t="s">
        <v>13</v>
      </c>
      <c r="AM9" s="1"/>
      <c r="AN9" s="1"/>
      <c r="AO9" s="51"/>
      <c r="AP9" s="102" t="s">
        <v>15</v>
      </c>
      <c r="AQ9" s="1" t="s">
        <v>12</v>
      </c>
      <c r="AR9" s="1"/>
      <c r="AS9" s="51"/>
      <c r="AT9" s="50" t="s">
        <v>13</v>
      </c>
      <c r="AU9" s="1"/>
      <c r="AV9" s="1"/>
      <c r="AW9" s="51"/>
      <c r="AX9" s="50" t="s">
        <v>12</v>
      </c>
      <c r="AY9" s="1"/>
      <c r="AZ9" s="1"/>
      <c r="BA9" s="51"/>
      <c r="BB9" s="50" t="s">
        <v>13</v>
      </c>
      <c r="BC9" s="1"/>
      <c r="BD9" s="1"/>
      <c r="BE9" s="51"/>
      <c r="BF9" s="102" t="s">
        <v>16</v>
      </c>
      <c r="BG9" s="1"/>
      <c r="BH9" s="1"/>
      <c r="BI9" s="51"/>
      <c r="BJ9" s="33"/>
      <c r="BK9" s="14"/>
      <c r="BL9" s="14"/>
      <c r="BM9" s="14"/>
      <c r="BN9" s="34"/>
      <c r="BO9" s="73"/>
      <c r="BP9" s="1"/>
      <c r="BQ9" s="1"/>
      <c r="BR9" s="1"/>
      <c r="BS9" s="51"/>
      <c r="BT9" s="73"/>
      <c r="BU9" s="113" t="s">
        <v>48</v>
      </c>
      <c r="BV9" s="1"/>
      <c r="BW9" s="1"/>
      <c r="BX9" s="51"/>
      <c r="BY9" s="73"/>
      <c r="BZ9" s="113" t="s">
        <v>48</v>
      </c>
      <c r="CA9" s="1"/>
      <c r="CB9" s="1"/>
      <c r="CC9" s="51"/>
    </row>
    <row r="10" spans="1:81" ht="13.8" thickBot="1" x14ac:dyDescent="0.3">
      <c r="A10" s="81" t="s">
        <v>42</v>
      </c>
      <c r="B10" s="56"/>
      <c r="C10" s="57"/>
      <c r="D10" s="57"/>
      <c r="E10" s="58"/>
      <c r="F10" s="56"/>
      <c r="G10" s="57"/>
      <c r="H10" s="57"/>
      <c r="I10" s="58"/>
      <c r="J10" s="56"/>
      <c r="K10" s="57"/>
      <c r="L10" s="57"/>
      <c r="M10" s="58"/>
      <c r="N10" s="56"/>
      <c r="O10" s="57"/>
      <c r="P10" s="57"/>
      <c r="Q10" s="58"/>
      <c r="R10" s="56"/>
      <c r="S10" s="57"/>
      <c r="T10" s="57"/>
      <c r="U10" s="58"/>
      <c r="V10" s="56"/>
      <c r="W10" s="57"/>
      <c r="X10" s="57"/>
      <c r="Y10" s="58"/>
      <c r="Z10" s="56"/>
      <c r="AA10" s="57"/>
      <c r="AB10" s="57"/>
      <c r="AC10" s="261"/>
      <c r="AD10" s="251"/>
      <c r="AE10" s="252"/>
      <c r="AF10" s="252"/>
      <c r="AG10" s="253"/>
      <c r="AH10" s="262"/>
      <c r="AI10" s="57"/>
      <c r="AJ10" s="57"/>
      <c r="AK10" s="58"/>
      <c r="AL10" s="56"/>
      <c r="AM10" s="57"/>
      <c r="AN10" s="57"/>
      <c r="AO10" s="58"/>
      <c r="AP10" s="56"/>
      <c r="AQ10" s="57"/>
      <c r="AR10" s="57"/>
      <c r="AS10" s="58"/>
      <c r="AT10" s="56"/>
      <c r="AU10" s="57"/>
      <c r="AV10" s="57"/>
      <c r="AW10" s="58"/>
      <c r="AX10" s="56"/>
      <c r="AY10" s="57"/>
      <c r="AZ10" s="57"/>
      <c r="BA10" s="58"/>
      <c r="BB10" s="56"/>
      <c r="BC10" s="57"/>
      <c r="BD10" s="57"/>
      <c r="BE10" s="58"/>
      <c r="BF10" s="56"/>
      <c r="BG10" s="57"/>
      <c r="BH10" s="57"/>
      <c r="BI10" s="58"/>
      <c r="BJ10" s="39"/>
      <c r="BK10" s="40"/>
      <c r="BL10" s="40"/>
      <c r="BM10" s="40"/>
      <c r="BN10" s="41"/>
      <c r="BO10" s="56"/>
      <c r="BP10" s="57"/>
      <c r="BQ10" s="57"/>
      <c r="BR10" s="57"/>
      <c r="BS10" s="58"/>
      <c r="BT10" s="56"/>
      <c r="BU10" s="57"/>
      <c r="BV10" s="57"/>
      <c r="BW10" s="57"/>
      <c r="BX10" s="115" t="s">
        <v>48</v>
      </c>
      <c r="BY10" s="56"/>
      <c r="BZ10" s="57"/>
      <c r="CA10" s="57"/>
      <c r="CB10" s="57"/>
      <c r="CC10" s="115" t="s">
        <v>48</v>
      </c>
    </row>
    <row r="11" spans="1:81" ht="13.8" customHeight="1" thickTop="1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0"/>
      <c r="BK11" s="20"/>
      <c r="BL11" s="20"/>
      <c r="BM11" s="20"/>
      <c r="BN11" s="20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</row>
    <row r="12" spans="1:81" ht="13.2" x14ac:dyDescent="0.25">
      <c r="A12" s="171" t="s">
        <v>0</v>
      </c>
      <c r="B12" s="101" t="s">
        <v>17</v>
      </c>
      <c r="C12" s="101" t="s">
        <v>12</v>
      </c>
      <c r="D12" s="101" t="s">
        <v>14</v>
      </c>
      <c r="E12" s="101" t="s">
        <v>13</v>
      </c>
      <c r="F12" s="101" t="s">
        <v>49</v>
      </c>
      <c r="G12" s="101" t="s">
        <v>16</v>
      </c>
      <c r="H12" s="101" t="s">
        <v>18</v>
      </c>
      <c r="I12" s="101" t="s">
        <v>15</v>
      </c>
      <c r="J12" s="101" t="s">
        <v>50</v>
      </c>
      <c r="K12" s="101" t="s">
        <v>19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 t="s">
        <v>53</v>
      </c>
      <c r="BS12" s="2"/>
      <c r="BT12" s="2"/>
      <c r="BU12" s="2"/>
      <c r="BV12" s="2"/>
      <c r="BW12" s="2"/>
      <c r="BX12" s="2"/>
      <c r="BY12" s="2"/>
      <c r="BZ12" s="2"/>
      <c r="CA12" s="2"/>
      <c r="CB12" s="2"/>
    </row>
    <row r="13" spans="1:81" ht="13.2" x14ac:dyDescent="0.25">
      <c r="A13" s="66" t="s">
        <v>62</v>
      </c>
      <c r="B13" s="11">
        <f t="shared" ref="B13:B19" si="0">SUM(C13:J13)</f>
        <v>32</v>
      </c>
      <c r="C13" s="11">
        <f>COUNTIF(B$4:BI$4,C12)*2</f>
        <v>20</v>
      </c>
      <c r="D13" s="11">
        <f>COUNTIF(C$4:BO$4,D12)*2</f>
        <v>4</v>
      </c>
      <c r="E13" s="11">
        <f>COUNTIF(D$4:BP$4,E12)*2</f>
        <v>4</v>
      </c>
      <c r="F13" s="11">
        <f>COUNTIF(E$4:BR$4,F12)*2</f>
        <v>0</v>
      </c>
      <c r="G13" s="11">
        <f>COUNTIF(F$4:BS$4,G12)*2</f>
        <v>0</v>
      </c>
      <c r="H13" s="11">
        <f>COUNTIF(G$4:BT$4,H12)*2</f>
        <v>4</v>
      </c>
      <c r="I13" s="11">
        <f>COUNTIF(H$4:BU$4,I12)*2</f>
        <v>0</v>
      </c>
      <c r="J13" s="11">
        <f>COUNTIF(J$4:BX$4,J12)*2</f>
        <v>0</v>
      </c>
      <c r="K13" s="174">
        <f>C13/B13</f>
        <v>0.625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 t="s">
        <v>53</v>
      </c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</row>
    <row r="14" spans="1:81" ht="13.2" x14ac:dyDescent="0.25">
      <c r="A14" s="67" t="s">
        <v>20</v>
      </c>
      <c r="B14" s="11">
        <f t="shared" si="0"/>
        <v>72</v>
      </c>
      <c r="C14" s="11">
        <f>COUNTIF(B$5:BI$5,C12)*2</f>
        <v>26</v>
      </c>
      <c r="D14" s="11">
        <f>COUNTIF(B$5:BI$5,D12)*2</f>
        <v>0</v>
      </c>
      <c r="E14" s="11">
        <f>COUNTIF(B$5:BI$5,E12)*2</f>
        <v>2</v>
      </c>
      <c r="F14" s="11">
        <f>COUNTIF(B$5:BI$5,F12)*2</f>
        <v>36</v>
      </c>
      <c r="G14" s="11">
        <f>COUNTIF(B$5:BI$5,G12)*2</f>
        <v>4</v>
      </c>
      <c r="H14" s="11">
        <f>COUNTIF(B$5:BI$5,H12)*2</f>
        <v>4</v>
      </c>
      <c r="I14" s="11">
        <f>COUNTIF(B$5:BI$5,I12)*2</f>
        <v>0</v>
      </c>
      <c r="J14" s="11">
        <f>COUNTIF(B$5:BI$5,J12)*2</f>
        <v>0</v>
      </c>
      <c r="K14" s="174">
        <f t="shared" ref="K14:K18" si="1">C14/B14</f>
        <v>0.3611111111111111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</row>
    <row r="15" spans="1:81" ht="13.2" x14ac:dyDescent="0.25">
      <c r="A15" s="68" t="s">
        <v>32</v>
      </c>
      <c r="B15" s="11">
        <f t="shared" si="0"/>
        <v>70</v>
      </c>
      <c r="C15" s="11">
        <f>COUNTIF(B$6:BI$6,C12)*2</f>
        <v>16</v>
      </c>
      <c r="D15" s="11">
        <f>COUNTIF(C$6:BO$6,D12)*2</f>
        <v>12</v>
      </c>
      <c r="E15" s="11">
        <f>COUNTIF(D$6:BP$6,E12)*2</f>
        <v>8</v>
      </c>
      <c r="F15" s="11">
        <f>COUNTIF(E$6:BR$6,F12)*2</f>
        <v>6</v>
      </c>
      <c r="G15" s="11">
        <f>COUNTIF(F$6:BS$6,G12)*2</f>
        <v>0</v>
      </c>
      <c r="H15" s="11">
        <f>COUNTIF(G$6:BT$6,H12)*2</f>
        <v>28</v>
      </c>
      <c r="I15" s="11">
        <f>COUNTIF(H$6:BU$6,I12)*2</f>
        <v>0</v>
      </c>
      <c r="J15" s="11">
        <f>COUNTIF(J$6:BX$6,J12)*2</f>
        <v>0</v>
      </c>
      <c r="K15" s="174">
        <f t="shared" si="1"/>
        <v>0.22857142857142856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</row>
    <row r="16" spans="1:81" ht="13.2" x14ac:dyDescent="0.25">
      <c r="A16" s="69" t="s">
        <v>39</v>
      </c>
      <c r="B16" s="11">
        <f t="shared" si="0"/>
        <v>72</v>
      </c>
      <c r="C16" s="11">
        <f>COUNTIF(B$7:BI$7,C12)*2</f>
        <v>22</v>
      </c>
      <c r="D16" s="11">
        <f>COUNTIF(C$7:BO$7,D12)*2</f>
        <v>18</v>
      </c>
      <c r="E16" s="11">
        <f>COUNTIF(D$7:BP$7,E12)*2</f>
        <v>6</v>
      </c>
      <c r="F16" s="11">
        <f>COUNTIF(E$7:BR$7,F12)*2</f>
        <v>18</v>
      </c>
      <c r="G16" s="11">
        <f>COUNTIF(F$7:BS$7,G12)*2</f>
        <v>4</v>
      </c>
      <c r="H16" s="11">
        <f>COUNTIF(G$7:BT$7,H12)*2</f>
        <v>0</v>
      </c>
      <c r="I16" s="11">
        <f>COUNTIF(H$7:BU$7,I12)*2</f>
        <v>4</v>
      </c>
      <c r="J16" s="11">
        <f>COUNTIF(I$7:BW$7,J12)*2</f>
        <v>0</v>
      </c>
      <c r="K16" s="174">
        <f t="shared" si="1"/>
        <v>0.30555555555555558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</row>
    <row r="17" spans="1:81" ht="13.2" x14ac:dyDescent="0.25">
      <c r="A17" s="70" t="s">
        <v>33</v>
      </c>
      <c r="B17" s="11">
        <f t="shared" si="0"/>
        <v>80</v>
      </c>
      <c r="C17" s="11">
        <f>COUNTIF(B$8:BI$8,C12)*2</f>
        <v>18</v>
      </c>
      <c r="D17" s="11">
        <f>COUNTIF(B$8:BI$8,D12)*2</f>
        <v>24</v>
      </c>
      <c r="E17" s="11">
        <f>COUNTIF(B$8:BI$8,E12)*2</f>
        <v>4</v>
      </c>
      <c r="F17" s="11">
        <f>COUNTIF(B$8:BI$8,F12)*2</f>
        <v>28</v>
      </c>
      <c r="G17" s="11">
        <f>COUNTIF(B$8:BI$8,G12)*2</f>
        <v>4</v>
      </c>
      <c r="H17" s="11">
        <f>COUNTIF(B$8:BI$8,H12)*2</f>
        <v>0</v>
      </c>
      <c r="I17" s="11">
        <f>COUNTIF(B$8:BI$8,I12)*2</f>
        <v>2</v>
      </c>
      <c r="J17" s="11">
        <f>COUNTIF(B$8:BI$8,J12)*2</f>
        <v>0</v>
      </c>
      <c r="K17" s="174">
        <f t="shared" si="1"/>
        <v>0.22500000000000001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</row>
    <row r="18" spans="1:81" ht="13.2" x14ac:dyDescent="0.25">
      <c r="A18" s="70" t="s">
        <v>38</v>
      </c>
      <c r="B18" s="11">
        <f>SUM(C18:J18)</f>
        <v>32</v>
      </c>
      <c r="C18" s="11">
        <f>COUNTIF(B$9:BI$9,C12)*2</f>
        <v>14</v>
      </c>
      <c r="D18" s="11">
        <f>COUNTIF(B$9:BI$9,D12)*2</f>
        <v>0</v>
      </c>
      <c r="E18" s="11">
        <f>COUNTIF(B$9:BI$9,E12)*2</f>
        <v>14</v>
      </c>
      <c r="F18" s="11">
        <f>COUNTIF(B$9:BO$9,F12)*2</f>
        <v>0</v>
      </c>
      <c r="G18" s="11">
        <f>COUNTIF(B$9:BO$9,G12)*2</f>
        <v>2</v>
      </c>
      <c r="H18" s="11">
        <f>COUNTIF(B$9:BO$9,H12)*2</f>
        <v>0</v>
      </c>
      <c r="I18" s="11">
        <f>COUNTIF(B$9:BO$9,I12)*2</f>
        <v>2</v>
      </c>
      <c r="J18" s="11">
        <f>COUNTIF(B$9:BP$9,J12)*2</f>
        <v>0</v>
      </c>
      <c r="K18" s="174">
        <f t="shared" si="1"/>
        <v>0.4375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</row>
    <row r="19" spans="1:81" ht="13.8" thickBot="1" x14ac:dyDescent="0.3">
      <c r="A19" s="81" t="s">
        <v>42</v>
      </c>
      <c r="B19" s="11">
        <f t="shared" si="0"/>
        <v>0</v>
      </c>
      <c r="C19" s="11">
        <f>COUNTIF(B$11:BI$11,C12)*2</f>
        <v>0</v>
      </c>
      <c r="D19" s="11">
        <f>COUNTIF(C$11:BO$11,D12)*2</f>
        <v>0</v>
      </c>
      <c r="E19" s="11">
        <f>COUNTIF(D$11:BP$11,E12)*2</f>
        <v>0</v>
      </c>
      <c r="F19" s="11">
        <f>COUNTIF(E$11:BR$11,F12)*2</f>
        <v>0</v>
      </c>
      <c r="G19" s="11">
        <f>COUNTIF(F$11:BS$11,G12)*2</f>
        <v>0</v>
      </c>
      <c r="H19" s="11">
        <f>COUNTIF(G$11:BT$11,H12)*2</f>
        <v>0</v>
      </c>
      <c r="I19" s="11">
        <f>COUNTIF(H$11:BU$11,I12)*2</f>
        <v>0</v>
      </c>
      <c r="J19" s="11">
        <f>COUNTIF(J$11:BX$11,J12)*2</f>
        <v>0</v>
      </c>
      <c r="K19" s="1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</row>
    <row r="20" spans="1:81" ht="13.8" thickTop="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</row>
    <row r="21" spans="1:81" ht="13.2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</row>
    <row r="22" spans="1:81" ht="13.2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</row>
    <row r="23" spans="1:81" ht="13.2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</row>
    <row r="24" spans="1:81" ht="13.2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</row>
    <row r="25" spans="1:81" ht="13.2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</row>
    <row r="26" spans="1:81" ht="13.2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</row>
    <row r="27" spans="1:81" ht="13.2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</row>
    <row r="28" spans="1:81" ht="13.2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</row>
    <row r="29" spans="1:81" ht="13.2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</row>
    <row r="30" spans="1:81" ht="13.2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</row>
    <row r="31" spans="1:81" ht="13.2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</row>
    <row r="32" spans="1:81" ht="13.2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</row>
    <row r="33" spans="2:81" ht="13.2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</row>
    <row r="34" spans="2:81" ht="13.2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</row>
    <row r="35" spans="2:81" ht="13.2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</row>
    <row r="36" spans="2:81" ht="13.2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</row>
    <row r="37" spans="2:81" ht="13.2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</row>
    <row r="38" spans="2:81" ht="13.2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</row>
    <row r="39" spans="2:81" ht="13.2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</row>
    <row r="40" spans="2:81" ht="13.2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</row>
    <row r="41" spans="2:81" ht="13.2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</row>
    <row r="42" spans="2:81" ht="13.2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</row>
    <row r="43" spans="2:81" ht="13.2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</row>
    <row r="44" spans="2:81" ht="13.2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</row>
    <row r="45" spans="2:81" ht="13.2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</row>
    <row r="46" spans="2:81" ht="13.2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</row>
    <row r="47" spans="2:81" ht="13.2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</row>
    <row r="48" spans="2:81" ht="13.2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</row>
    <row r="49" spans="2:81" ht="13.2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</row>
    <row r="50" spans="2:81" ht="13.2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</row>
    <row r="51" spans="2:81" ht="13.2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</row>
    <row r="52" spans="2:81" ht="13.2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</row>
    <row r="53" spans="2:81" ht="13.2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</row>
    <row r="54" spans="2:81" ht="13.2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</row>
    <row r="55" spans="2:81" ht="13.2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</row>
    <row r="56" spans="2:81" ht="13.2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</row>
    <row r="57" spans="2:81" ht="13.2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</row>
    <row r="58" spans="2:81" ht="13.2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</row>
    <row r="59" spans="2:81" ht="13.2" x14ac:dyDescent="0.2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</row>
    <row r="60" spans="2:81" ht="13.2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</row>
    <row r="61" spans="2:81" ht="13.2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</row>
    <row r="62" spans="2:81" ht="13.2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</row>
    <row r="63" spans="2:81" ht="13.2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</row>
    <row r="64" spans="2:81" ht="13.2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</row>
    <row r="65" spans="2:81" ht="13.2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</row>
    <row r="66" spans="2:81" ht="13.2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</row>
    <row r="67" spans="2:81" ht="13.2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</row>
    <row r="68" spans="2:81" ht="13.2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</row>
    <row r="69" spans="2:81" ht="13.2" x14ac:dyDescent="0.2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</row>
    <row r="70" spans="2:81" ht="13.2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</row>
    <row r="71" spans="2:81" ht="13.2" x14ac:dyDescent="0.2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</row>
    <row r="72" spans="2:81" ht="13.2" x14ac:dyDescent="0.2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</row>
    <row r="73" spans="2:81" ht="13.2" x14ac:dyDescent="0.2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</row>
    <row r="74" spans="2:81" ht="13.2" x14ac:dyDescent="0.2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</row>
    <row r="75" spans="2:81" ht="13.2" x14ac:dyDescent="0.2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</row>
    <row r="76" spans="2:81" ht="13.2" x14ac:dyDescent="0.2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</row>
    <row r="77" spans="2:81" ht="13.2" x14ac:dyDescent="0.2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 spans="2:81" ht="13.2" x14ac:dyDescent="0.2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spans="2:81" ht="13.2" x14ac:dyDescent="0.2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 spans="2:81" ht="13.2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 spans="2:81" ht="13.2" x14ac:dyDescent="0.2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 spans="2:81" ht="13.2" x14ac:dyDescent="0.2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</row>
    <row r="83" spans="2:81" ht="13.2" x14ac:dyDescent="0.2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</row>
    <row r="84" spans="2:81" ht="13.2" x14ac:dyDescent="0.2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</row>
    <row r="85" spans="2:81" ht="13.2" x14ac:dyDescent="0.2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</row>
    <row r="86" spans="2:81" ht="13.2" x14ac:dyDescent="0.2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</row>
    <row r="87" spans="2:81" ht="13.2" x14ac:dyDescent="0.2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</row>
    <row r="88" spans="2:81" ht="13.2" x14ac:dyDescent="0.2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</row>
    <row r="89" spans="2:81" ht="13.2" x14ac:dyDescent="0.2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</row>
    <row r="90" spans="2:81" ht="13.2" x14ac:dyDescent="0.2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</row>
    <row r="91" spans="2:81" ht="13.2" x14ac:dyDescent="0.2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</row>
    <row r="92" spans="2:81" ht="13.2" x14ac:dyDescent="0.2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</row>
    <row r="93" spans="2:81" ht="13.2" x14ac:dyDescent="0.2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</row>
    <row r="94" spans="2:81" ht="13.2" x14ac:dyDescent="0.2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</row>
    <row r="95" spans="2:81" ht="13.2" x14ac:dyDescent="0.2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</row>
    <row r="96" spans="2:81" ht="13.2" x14ac:dyDescent="0.2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</row>
    <row r="97" spans="2:81" ht="13.2" x14ac:dyDescent="0.2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</row>
    <row r="98" spans="2:81" ht="13.2" x14ac:dyDescent="0.2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</row>
    <row r="99" spans="2:81" ht="13.2" x14ac:dyDescent="0.2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</row>
    <row r="100" spans="2:81" ht="13.2" x14ac:dyDescent="0.2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</row>
    <row r="101" spans="2:81" ht="13.2" x14ac:dyDescent="0.2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</row>
    <row r="102" spans="2:81" ht="13.2" x14ac:dyDescent="0.2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</row>
    <row r="103" spans="2:81" ht="13.2" x14ac:dyDescent="0.2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</row>
    <row r="104" spans="2:81" ht="13.2" x14ac:dyDescent="0.2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</row>
    <row r="105" spans="2:81" ht="13.2" x14ac:dyDescent="0.2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</row>
    <row r="106" spans="2:81" ht="13.2" x14ac:dyDescent="0.2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</row>
    <row r="107" spans="2:81" ht="13.2" x14ac:dyDescent="0.2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</row>
    <row r="108" spans="2:81" ht="13.2" x14ac:dyDescent="0.2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</row>
    <row r="109" spans="2:81" ht="13.2" x14ac:dyDescent="0.2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</row>
    <row r="110" spans="2:81" ht="13.2" x14ac:dyDescent="0.2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</row>
    <row r="111" spans="2:81" ht="13.2" x14ac:dyDescent="0.2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</row>
    <row r="112" spans="2:81" ht="13.2" x14ac:dyDescent="0.2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</row>
    <row r="113" spans="2:81" ht="13.2" x14ac:dyDescent="0.2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</row>
    <row r="114" spans="2:81" ht="13.2" x14ac:dyDescent="0.2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</row>
    <row r="115" spans="2:81" ht="13.2" x14ac:dyDescent="0.2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</row>
    <row r="116" spans="2:81" ht="13.2" x14ac:dyDescent="0.2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</row>
    <row r="117" spans="2:81" ht="13.2" x14ac:dyDescent="0.2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</row>
    <row r="118" spans="2:81" ht="13.2" x14ac:dyDescent="0.2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</row>
    <row r="119" spans="2:81" ht="13.2" x14ac:dyDescent="0.2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</row>
    <row r="120" spans="2:81" ht="13.2" x14ac:dyDescent="0.2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</row>
    <row r="121" spans="2:81" ht="13.2" x14ac:dyDescent="0.2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</row>
    <row r="122" spans="2:81" ht="13.2" x14ac:dyDescent="0.2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</row>
    <row r="123" spans="2:81" ht="13.2" x14ac:dyDescent="0.2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</row>
    <row r="124" spans="2:81" ht="13.2" x14ac:dyDescent="0.2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</row>
    <row r="125" spans="2:81" ht="13.2" x14ac:dyDescent="0.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</row>
    <row r="126" spans="2:81" ht="13.2" x14ac:dyDescent="0.2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</row>
    <row r="127" spans="2:81" ht="13.2" x14ac:dyDescent="0.2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</row>
    <row r="128" spans="2:81" ht="13.2" x14ac:dyDescent="0.2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</row>
    <row r="129" spans="2:81" ht="13.2" x14ac:dyDescent="0.2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</row>
    <row r="130" spans="2:81" ht="13.2" x14ac:dyDescent="0.2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</row>
    <row r="131" spans="2:81" ht="13.2" x14ac:dyDescent="0.2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</row>
    <row r="132" spans="2:81" ht="13.2" x14ac:dyDescent="0.2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</row>
    <row r="133" spans="2:81" ht="13.2" x14ac:dyDescent="0.2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</row>
    <row r="134" spans="2:81" ht="13.2" x14ac:dyDescent="0.2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</row>
    <row r="135" spans="2:81" ht="13.2" x14ac:dyDescent="0.2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</row>
    <row r="136" spans="2:81" ht="13.2" x14ac:dyDescent="0.2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</row>
    <row r="137" spans="2:81" ht="13.2" x14ac:dyDescent="0.2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</row>
    <row r="138" spans="2:81" ht="13.2" x14ac:dyDescent="0.2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</row>
    <row r="139" spans="2:81" ht="13.2" x14ac:dyDescent="0.2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</row>
    <row r="140" spans="2:81" ht="13.2" x14ac:dyDescent="0.2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</row>
    <row r="141" spans="2:81" ht="13.2" x14ac:dyDescent="0.2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</row>
    <row r="142" spans="2:81" ht="13.2" x14ac:dyDescent="0.2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</row>
    <row r="143" spans="2:81" ht="13.2" x14ac:dyDescent="0.2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</row>
    <row r="144" spans="2:81" ht="13.2" x14ac:dyDescent="0.2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</row>
    <row r="145" spans="2:81" ht="13.2" x14ac:dyDescent="0.2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</row>
    <row r="146" spans="2:81" ht="13.2" x14ac:dyDescent="0.2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</row>
    <row r="147" spans="2:81" ht="13.2" x14ac:dyDescent="0.2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</row>
    <row r="148" spans="2:81" ht="13.2" x14ac:dyDescent="0.2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</row>
    <row r="149" spans="2:81" ht="13.2" x14ac:dyDescent="0.2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</row>
    <row r="150" spans="2:81" ht="13.2" x14ac:dyDescent="0.2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</row>
    <row r="151" spans="2:81" ht="13.2" x14ac:dyDescent="0.2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</row>
    <row r="152" spans="2:81" ht="13.2" x14ac:dyDescent="0.2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</row>
    <row r="153" spans="2:81" ht="13.2" x14ac:dyDescent="0.2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</row>
    <row r="154" spans="2:81" ht="13.2" x14ac:dyDescent="0.2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</row>
    <row r="155" spans="2:81" ht="13.2" x14ac:dyDescent="0.2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</row>
    <row r="156" spans="2:81" ht="13.2" x14ac:dyDescent="0.2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</row>
    <row r="157" spans="2:81" ht="13.2" x14ac:dyDescent="0.2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</row>
    <row r="158" spans="2:81" ht="13.2" x14ac:dyDescent="0.2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</row>
    <row r="159" spans="2:81" ht="13.2" x14ac:dyDescent="0.2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</row>
    <row r="160" spans="2:81" ht="13.2" x14ac:dyDescent="0.2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</row>
    <row r="161" spans="2:81" ht="13.2" x14ac:dyDescent="0.2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</row>
    <row r="162" spans="2:81" ht="13.2" x14ac:dyDescent="0.2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</row>
    <row r="163" spans="2:81" ht="13.2" x14ac:dyDescent="0.2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</row>
    <row r="164" spans="2:81" ht="13.2" x14ac:dyDescent="0.2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</row>
    <row r="165" spans="2:81" ht="13.2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</row>
    <row r="166" spans="2:81" ht="13.2" x14ac:dyDescent="0.2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</row>
    <row r="167" spans="2:81" ht="13.2" x14ac:dyDescent="0.2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</row>
    <row r="168" spans="2:81" ht="13.2" x14ac:dyDescent="0.2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</row>
    <row r="169" spans="2:81" ht="13.2" x14ac:dyDescent="0.2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</row>
    <row r="170" spans="2:81" ht="13.2" x14ac:dyDescent="0.2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</row>
    <row r="171" spans="2:81" ht="13.2" x14ac:dyDescent="0.2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</row>
    <row r="172" spans="2:81" ht="13.2" x14ac:dyDescent="0.2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</row>
    <row r="173" spans="2:81" ht="13.2" x14ac:dyDescent="0.2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</row>
    <row r="174" spans="2:81" ht="13.2" x14ac:dyDescent="0.2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</row>
    <row r="175" spans="2:81" ht="13.2" x14ac:dyDescent="0.2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</row>
    <row r="176" spans="2:81" ht="13.2" x14ac:dyDescent="0.2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</row>
    <row r="177" spans="2:81" ht="13.2" x14ac:dyDescent="0.2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</row>
    <row r="178" spans="2:81" ht="13.2" x14ac:dyDescent="0.2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</row>
    <row r="179" spans="2:81" ht="13.2" x14ac:dyDescent="0.2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</row>
    <row r="180" spans="2:81" ht="13.2" x14ac:dyDescent="0.2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</row>
    <row r="181" spans="2:81" ht="13.2" x14ac:dyDescent="0.2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</row>
    <row r="182" spans="2:81" ht="13.2" x14ac:dyDescent="0.2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</row>
    <row r="183" spans="2:81" ht="13.2" x14ac:dyDescent="0.2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</row>
    <row r="184" spans="2:81" ht="13.2" x14ac:dyDescent="0.2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</row>
    <row r="185" spans="2:81" ht="13.2" x14ac:dyDescent="0.2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</row>
    <row r="186" spans="2:81" ht="13.2" x14ac:dyDescent="0.2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</row>
    <row r="187" spans="2:81" ht="13.2" x14ac:dyDescent="0.2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</row>
    <row r="188" spans="2:81" ht="13.2" x14ac:dyDescent="0.2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</row>
    <row r="189" spans="2:81" ht="13.2" x14ac:dyDescent="0.2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</row>
    <row r="190" spans="2:81" ht="13.2" x14ac:dyDescent="0.2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</row>
    <row r="191" spans="2:81" ht="13.2" x14ac:dyDescent="0.2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</row>
    <row r="192" spans="2:81" ht="13.2" x14ac:dyDescent="0.2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</row>
    <row r="193" spans="2:81" ht="13.2" x14ac:dyDescent="0.2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</row>
    <row r="194" spans="2:81" ht="13.2" x14ac:dyDescent="0.2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</row>
    <row r="195" spans="2:81" ht="13.2" x14ac:dyDescent="0.2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</row>
    <row r="196" spans="2:81" ht="13.2" x14ac:dyDescent="0.2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</row>
    <row r="197" spans="2:81" ht="13.2" x14ac:dyDescent="0.2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</row>
    <row r="198" spans="2:81" ht="13.2" x14ac:dyDescent="0.2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</row>
    <row r="199" spans="2:81" ht="13.2" x14ac:dyDescent="0.2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</row>
    <row r="200" spans="2:81" ht="13.2" x14ac:dyDescent="0.2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</row>
    <row r="201" spans="2:81" ht="13.2" x14ac:dyDescent="0.2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</row>
    <row r="202" spans="2:81" ht="13.2" x14ac:dyDescent="0.2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</row>
    <row r="203" spans="2:81" ht="13.2" x14ac:dyDescent="0.2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</row>
    <row r="204" spans="2:81" ht="13.2" x14ac:dyDescent="0.2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</row>
    <row r="205" spans="2:81" ht="13.2" x14ac:dyDescent="0.2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</row>
    <row r="206" spans="2:81" ht="13.2" x14ac:dyDescent="0.2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</row>
    <row r="207" spans="2:81" ht="13.2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</row>
    <row r="208" spans="2:81" ht="13.2" x14ac:dyDescent="0.2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</row>
    <row r="209" spans="2:81" ht="13.2" x14ac:dyDescent="0.2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</row>
    <row r="210" spans="2:81" ht="13.2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</row>
    <row r="211" spans="2:81" ht="13.2" x14ac:dyDescent="0.2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</row>
    <row r="212" spans="2:81" ht="13.2" x14ac:dyDescent="0.2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</row>
    <row r="213" spans="2:81" ht="13.2" x14ac:dyDescent="0.2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</row>
    <row r="214" spans="2:81" ht="13.2" x14ac:dyDescent="0.2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</row>
    <row r="215" spans="2:81" ht="13.2" x14ac:dyDescent="0.2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</row>
    <row r="216" spans="2:81" ht="13.2" x14ac:dyDescent="0.2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</row>
    <row r="217" spans="2:81" ht="13.2" x14ac:dyDescent="0.2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</row>
    <row r="218" spans="2:81" ht="13.2" x14ac:dyDescent="0.2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</row>
    <row r="219" spans="2:81" ht="13.2" x14ac:dyDescent="0.2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</row>
    <row r="220" spans="2:81" ht="13.2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</row>
    <row r="221" spans="2:81" ht="13.2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</row>
    <row r="222" spans="2:81" ht="13.2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</row>
    <row r="223" spans="2:81" ht="13.2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</row>
    <row r="224" spans="2:81" ht="13.2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</row>
    <row r="225" spans="2:81" ht="13.2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</row>
    <row r="226" spans="2:81" ht="13.2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</row>
    <row r="227" spans="2:81" ht="13.2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</row>
    <row r="228" spans="2:81" ht="13.2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</row>
    <row r="229" spans="2:81" ht="13.2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</row>
    <row r="230" spans="2:81" ht="13.2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</row>
    <row r="231" spans="2:81" ht="13.2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</row>
    <row r="232" spans="2:81" ht="13.2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</row>
    <row r="233" spans="2:81" ht="13.2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</row>
    <row r="234" spans="2:81" ht="13.2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</row>
    <row r="235" spans="2:81" ht="13.2" x14ac:dyDescent="0.2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</row>
    <row r="236" spans="2:81" ht="13.2" x14ac:dyDescent="0.2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</row>
    <row r="237" spans="2:81" ht="13.2" x14ac:dyDescent="0.2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</row>
    <row r="238" spans="2:81" ht="13.2" x14ac:dyDescent="0.2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</row>
    <row r="239" spans="2:81" ht="13.2" x14ac:dyDescent="0.2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</row>
    <row r="240" spans="2:81" ht="13.2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</row>
    <row r="241" spans="2:81" ht="13.2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</row>
    <row r="242" spans="2:81" ht="13.2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</row>
    <row r="243" spans="2:81" ht="13.2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</row>
    <row r="244" spans="2:81" ht="13.2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</row>
    <row r="245" spans="2:81" ht="13.2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</row>
    <row r="246" spans="2:81" ht="13.2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</row>
    <row r="247" spans="2:81" ht="13.2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</row>
    <row r="248" spans="2:81" ht="13.2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</row>
    <row r="249" spans="2:81" ht="13.2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</row>
    <row r="250" spans="2:81" ht="13.2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</row>
    <row r="251" spans="2:81" ht="13.2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</row>
    <row r="252" spans="2:81" ht="13.2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</row>
    <row r="253" spans="2:81" ht="13.2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</row>
    <row r="254" spans="2:81" ht="13.2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</row>
    <row r="255" spans="2:81" ht="13.2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</row>
    <row r="256" spans="2:81" ht="13.2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</row>
    <row r="257" spans="2:81" ht="13.2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</row>
    <row r="258" spans="2:81" ht="13.2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</row>
    <row r="259" spans="2:81" ht="13.2" x14ac:dyDescent="0.2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</row>
    <row r="260" spans="2:81" ht="13.2" x14ac:dyDescent="0.2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</row>
    <row r="261" spans="2:81" ht="13.2" x14ac:dyDescent="0.2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</row>
    <row r="262" spans="2:81" ht="13.2" x14ac:dyDescent="0.2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</row>
    <row r="263" spans="2:81" ht="13.2" x14ac:dyDescent="0.2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</row>
    <row r="264" spans="2:81" ht="13.2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</row>
    <row r="265" spans="2:81" ht="13.2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</row>
    <row r="266" spans="2:81" ht="13.2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</row>
    <row r="267" spans="2:81" ht="13.2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</row>
    <row r="268" spans="2:81" ht="13.2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</row>
    <row r="269" spans="2:81" ht="13.2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</row>
    <row r="270" spans="2:81" ht="13.2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</row>
    <row r="271" spans="2:81" ht="13.2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</row>
    <row r="272" spans="2:81" ht="13.2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</row>
    <row r="273" spans="2:81" ht="13.2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</row>
    <row r="274" spans="2:81" ht="13.2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</row>
    <row r="275" spans="2:81" ht="13.2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</row>
    <row r="276" spans="2:81" ht="13.2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</row>
    <row r="277" spans="2:81" ht="13.2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</row>
    <row r="278" spans="2:81" ht="13.2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</row>
    <row r="279" spans="2:81" ht="13.2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</row>
    <row r="280" spans="2:81" ht="13.2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</row>
    <row r="281" spans="2:81" ht="13.2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</row>
    <row r="282" spans="2:81" ht="13.2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</row>
    <row r="283" spans="2:81" ht="13.2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</row>
    <row r="284" spans="2:81" ht="13.2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</row>
    <row r="285" spans="2:81" ht="13.2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</row>
    <row r="286" spans="2:81" ht="13.2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</row>
    <row r="287" spans="2:81" ht="13.2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</row>
    <row r="288" spans="2:81" ht="13.2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</row>
    <row r="289" spans="2:81" ht="13.2" x14ac:dyDescent="0.2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</row>
    <row r="290" spans="2:81" ht="13.2" x14ac:dyDescent="0.2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</row>
    <row r="291" spans="2:81" ht="13.2" x14ac:dyDescent="0.2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</row>
    <row r="292" spans="2:81" ht="13.2" x14ac:dyDescent="0.2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</row>
    <row r="293" spans="2:81" ht="13.2" x14ac:dyDescent="0.2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</row>
    <row r="294" spans="2:81" ht="13.2" x14ac:dyDescent="0.2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</row>
    <row r="295" spans="2:81" ht="13.2" x14ac:dyDescent="0.2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</row>
    <row r="296" spans="2:81" ht="13.2" x14ac:dyDescent="0.2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</row>
    <row r="297" spans="2:81" ht="13.2" x14ac:dyDescent="0.2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</row>
    <row r="298" spans="2:81" ht="13.2" x14ac:dyDescent="0.2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</row>
    <row r="299" spans="2:81" ht="13.2" x14ac:dyDescent="0.2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</row>
    <row r="300" spans="2:81" ht="13.2" x14ac:dyDescent="0.2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</row>
    <row r="301" spans="2:81" ht="13.2" x14ac:dyDescent="0.2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</row>
    <row r="302" spans="2:81" ht="13.2" x14ac:dyDescent="0.2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</row>
    <row r="303" spans="2:81" ht="13.2" x14ac:dyDescent="0.2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</row>
    <row r="304" spans="2:81" ht="13.2" x14ac:dyDescent="0.2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</row>
    <row r="305" spans="2:81" ht="13.2" x14ac:dyDescent="0.2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</row>
    <row r="306" spans="2:81" ht="13.2" x14ac:dyDescent="0.2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</row>
    <row r="307" spans="2:81" ht="13.2" x14ac:dyDescent="0.2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</row>
    <row r="308" spans="2:81" ht="13.2" x14ac:dyDescent="0.2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</row>
    <row r="309" spans="2:81" ht="13.2" x14ac:dyDescent="0.2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</row>
    <row r="310" spans="2:81" ht="13.2" x14ac:dyDescent="0.2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</row>
    <row r="311" spans="2:81" ht="13.2" x14ac:dyDescent="0.2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</row>
    <row r="312" spans="2:81" ht="13.2" x14ac:dyDescent="0.2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</row>
    <row r="313" spans="2:81" ht="13.2" x14ac:dyDescent="0.2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</row>
    <row r="314" spans="2:81" ht="13.2" x14ac:dyDescent="0.2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</row>
    <row r="315" spans="2:81" ht="13.2" x14ac:dyDescent="0.2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</row>
    <row r="316" spans="2:81" ht="13.2" x14ac:dyDescent="0.2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</row>
    <row r="317" spans="2:81" ht="13.2" x14ac:dyDescent="0.2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</row>
    <row r="318" spans="2:81" ht="13.2" x14ac:dyDescent="0.2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</row>
    <row r="319" spans="2:81" ht="13.2" x14ac:dyDescent="0.2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</row>
    <row r="320" spans="2:81" ht="13.2" x14ac:dyDescent="0.2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</row>
    <row r="321" spans="2:81" ht="13.2" x14ac:dyDescent="0.2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</row>
    <row r="322" spans="2:81" ht="13.2" x14ac:dyDescent="0.2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</row>
    <row r="323" spans="2:81" ht="13.2" x14ac:dyDescent="0.2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</row>
    <row r="324" spans="2:81" ht="13.2" x14ac:dyDescent="0.2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</row>
    <row r="325" spans="2:81" ht="13.2" x14ac:dyDescent="0.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</row>
    <row r="326" spans="2:81" ht="13.2" x14ac:dyDescent="0.2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</row>
    <row r="327" spans="2:81" ht="13.2" x14ac:dyDescent="0.2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</row>
    <row r="328" spans="2:81" ht="13.2" x14ac:dyDescent="0.2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</row>
    <row r="329" spans="2:81" ht="13.2" x14ac:dyDescent="0.2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</row>
    <row r="330" spans="2:81" ht="13.2" x14ac:dyDescent="0.2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</row>
    <row r="331" spans="2:81" ht="13.2" x14ac:dyDescent="0.2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</row>
    <row r="332" spans="2:81" ht="13.2" x14ac:dyDescent="0.2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</row>
    <row r="333" spans="2:81" ht="13.2" x14ac:dyDescent="0.2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</row>
    <row r="334" spans="2:81" ht="13.2" x14ac:dyDescent="0.2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</row>
    <row r="335" spans="2:81" ht="13.2" x14ac:dyDescent="0.2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</row>
    <row r="336" spans="2:81" ht="13.2" x14ac:dyDescent="0.2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</row>
    <row r="337" spans="2:81" ht="13.2" x14ac:dyDescent="0.2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</row>
    <row r="338" spans="2:81" ht="13.2" x14ac:dyDescent="0.2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</row>
    <row r="339" spans="2:81" ht="13.2" x14ac:dyDescent="0.2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</row>
    <row r="340" spans="2:81" ht="13.2" x14ac:dyDescent="0.2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</row>
    <row r="341" spans="2:81" ht="13.2" x14ac:dyDescent="0.2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</row>
    <row r="342" spans="2:81" ht="13.2" x14ac:dyDescent="0.2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</row>
    <row r="343" spans="2:81" ht="13.2" x14ac:dyDescent="0.2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</row>
    <row r="344" spans="2:81" ht="13.2" x14ac:dyDescent="0.2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</row>
    <row r="345" spans="2:81" ht="13.2" x14ac:dyDescent="0.2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</row>
    <row r="346" spans="2:81" ht="13.2" x14ac:dyDescent="0.2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</row>
    <row r="347" spans="2:81" ht="13.2" x14ac:dyDescent="0.2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</row>
    <row r="348" spans="2:81" ht="13.2" x14ac:dyDescent="0.2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</row>
    <row r="349" spans="2:81" ht="13.2" x14ac:dyDescent="0.2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</row>
    <row r="350" spans="2:81" ht="13.2" x14ac:dyDescent="0.2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</row>
    <row r="351" spans="2:81" ht="13.2" x14ac:dyDescent="0.2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</row>
    <row r="352" spans="2:81" ht="13.2" x14ac:dyDescent="0.2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</row>
    <row r="353" spans="2:81" ht="13.2" x14ac:dyDescent="0.2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</row>
    <row r="354" spans="2:81" ht="13.2" x14ac:dyDescent="0.2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</row>
    <row r="355" spans="2:81" ht="13.2" x14ac:dyDescent="0.2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</row>
    <row r="356" spans="2:81" ht="13.2" x14ac:dyDescent="0.2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</row>
    <row r="357" spans="2:81" ht="13.2" x14ac:dyDescent="0.2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</row>
    <row r="358" spans="2:81" ht="13.2" x14ac:dyDescent="0.2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</row>
    <row r="359" spans="2:81" ht="13.2" x14ac:dyDescent="0.2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</row>
    <row r="360" spans="2:81" ht="13.2" x14ac:dyDescent="0.2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</row>
    <row r="361" spans="2:81" ht="13.2" x14ac:dyDescent="0.2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</row>
    <row r="362" spans="2:81" ht="13.2" x14ac:dyDescent="0.2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</row>
    <row r="363" spans="2:81" ht="13.2" x14ac:dyDescent="0.2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</row>
    <row r="364" spans="2:81" ht="13.2" x14ac:dyDescent="0.2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</row>
    <row r="365" spans="2:81" ht="13.2" x14ac:dyDescent="0.2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</row>
    <row r="366" spans="2:81" ht="13.2" x14ac:dyDescent="0.2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</row>
    <row r="367" spans="2:81" ht="13.2" x14ac:dyDescent="0.2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</row>
    <row r="368" spans="2:81" ht="13.2" x14ac:dyDescent="0.2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</row>
    <row r="369" spans="2:81" ht="13.2" x14ac:dyDescent="0.2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</row>
    <row r="370" spans="2:81" ht="13.2" x14ac:dyDescent="0.2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</row>
    <row r="371" spans="2:81" ht="13.2" x14ac:dyDescent="0.2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</row>
    <row r="372" spans="2:81" ht="13.2" x14ac:dyDescent="0.2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</row>
    <row r="373" spans="2:81" ht="13.2" x14ac:dyDescent="0.2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</row>
    <row r="374" spans="2:81" ht="13.2" x14ac:dyDescent="0.2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</row>
    <row r="375" spans="2:81" ht="13.2" x14ac:dyDescent="0.2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</row>
    <row r="376" spans="2:81" ht="13.2" x14ac:dyDescent="0.2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</row>
    <row r="377" spans="2:81" ht="13.2" x14ac:dyDescent="0.2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</row>
    <row r="378" spans="2:81" ht="13.2" x14ac:dyDescent="0.2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</row>
    <row r="379" spans="2:81" ht="13.2" x14ac:dyDescent="0.2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</row>
    <row r="380" spans="2:81" ht="13.2" x14ac:dyDescent="0.2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</row>
    <row r="381" spans="2:81" ht="13.2" x14ac:dyDescent="0.2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</row>
    <row r="382" spans="2:81" ht="13.2" x14ac:dyDescent="0.2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</row>
    <row r="383" spans="2:81" ht="13.2" x14ac:dyDescent="0.2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</row>
    <row r="384" spans="2:81" ht="13.2" x14ac:dyDescent="0.2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</row>
    <row r="385" spans="2:81" ht="13.2" x14ac:dyDescent="0.2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</row>
    <row r="386" spans="2:81" ht="13.2" x14ac:dyDescent="0.2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</row>
    <row r="387" spans="2:81" ht="13.2" x14ac:dyDescent="0.2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</row>
    <row r="388" spans="2:81" ht="13.2" x14ac:dyDescent="0.2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</row>
    <row r="389" spans="2:81" ht="13.2" x14ac:dyDescent="0.2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</row>
    <row r="390" spans="2:81" ht="13.2" x14ac:dyDescent="0.2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</row>
    <row r="391" spans="2:81" ht="13.2" x14ac:dyDescent="0.2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</row>
    <row r="392" spans="2:81" ht="13.2" x14ac:dyDescent="0.2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</row>
    <row r="393" spans="2:81" ht="13.2" x14ac:dyDescent="0.2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</row>
    <row r="394" spans="2:81" ht="13.2" x14ac:dyDescent="0.2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</row>
    <row r="395" spans="2:81" ht="13.2" x14ac:dyDescent="0.2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</row>
    <row r="396" spans="2:81" ht="13.2" x14ac:dyDescent="0.2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</row>
    <row r="397" spans="2:81" ht="13.2" x14ac:dyDescent="0.2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</row>
    <row r="398" spans="2:81" ht="13.2" x14ac:dyDescent="0.2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</row>
    <row r="399" spans="2:81" ht="13.2" x14ac:dyDescent="0.2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</row>
    <row r="400" spans="2:81" ht="13.2" x14ac:dyDescent="0.2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</row>
    <row r="401" spans="2:81" ht="13.2" x14ac:dyDescent="0.2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</row>
    <row r="402" spans="2:81" ht="13.2" x14ac:dyDescent="0.2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</row>
    <row r="403" spans="2:81" ht="13.2" x14ac:dyDescent="0.2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</row>
    <row r="404" spans="2:81" ht="13.2" x14ac:dyDescent="0.2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</row>
    <row r="405" spans="2:81" ht="13.2" x14ac:dyDescent="0.2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</row>
    <row r="406" spans="2:81" ht="13.2" x14ac:dyDescent="0.2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</row>
    <row r="407" spans="2:81" ht="13.2" x14ac:dyDescent="0.2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</row>
    <row r="408" spans="2:81" ht="13.2" x14ac:dyDescent="0.2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</row>
    <row r="409" spans="2:81" ht="13.2" x14ac:dyDescent="0.2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</row>
    <row r="410" spans="2:81" ht="13.2" x14ac:dyDescent="0.2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</row>
    <row r="411" spans="2:81" ht="13.2" x14ac:dyDescent="0.2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</row>
    <row r="412" spans="2:81" ht="13.2" x14ac:dyDescent="0.2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</row>
    <row r="413" spans="2:81" ht="13.2" x14ac:dyDescent="0.2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</row>
    <row r="414" spans="2:81" ht="13.2" x14ac:dyDescent="0.2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</row>
    <row r="415" spans="2:81" ht="13.2" x14ac:dyDescent="0.2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</row>
    <row r="416" spans="2:81" ht="13.2" x14ac:dyDescent="0.2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</row>
    <row r="417" spans="2:81" ht="13.2" x14ac:dyDescent="0.2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</row>
    <row r="418" spans="2:81" ht="13.2" x14ac:dyDescent="0.2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</row>
    <row r="419" spans="2:81" ht="13.2" x14ac:dyDescent="0.2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</row>
    <row r="420" spans="2:81" ht="13.2" x14ac:dyDescent="0.2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</row>
    <row r="421" spans="2:81" ht="13.2" x14ac:dyDescent="0.2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</row>
    <row r="422" spans="2:81" ht="13.2" x14ac:dyDescent="0.2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</row>
    <row r="423" spans="2:81" ht="13.2" x14ac:dyDescent="0.2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</row>
    <row r="424" spans="2:81" ht="13.2" x14ac:dyDescent="0.2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</row>
    <row r="425" spans="2:81" ht="13.2" x14ac:dyDescent="0.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</row>
    <row r="426" spans="2:81" ht="13.2" x14ac:dyDescent="0.2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</row>
    <row r="427" spans="2:81" ht="13.2" x14ac:dyDescent="0.2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</row>
    <row r="428" spans="2:81" ht="13.2" x14ac:dyDescent="0.2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</row>
    <row r="429" spans="2:81" ht="13.2" x14ac:dyDescent="0.2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</row>
    <row r="430" spans="2:81" ht="13.2" x14ac:dyDescent="0.2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</row>
    <row r="431" spans="2:81" ht="13.2" x14ac:dyDescent="0.2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</row>
    <row r="432" spans="2:81" ht="13.2" x14ac:dyDescent="0.2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</row>
    <row r="433" spans="2:81" ht="13.2" x14ac:dyDescent="0.2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</row>
    <row r="434" spans="2:81" ht="13.2" x14ac:dyDescent="0.2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</row>
    <row r="435" spans="2:81" ht="13.2" x14ac:dyDescent="0.2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</row>
    <row r="436" spans="2:81" ht="13.2" x14ac:dyDescent="0.2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</row>
    <row r="437" spans="2:81" ht="13.2" x14ac:dyDescent="0.2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</row>
    <row r="438" spans="2:81" ht="13.2" x14ac:dyDescent="0.2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</row>
    <row r="439" spans="2:81" ht="13.2" x14ac:dyDescent="0.2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</row>
    <row r="440" spans="2:81" ht="13.2" x14ac:dyDescent="0.2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</row>
    <row r="441" spans="2:81" ht="13.2" x14ac:dyDescent="0.2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</row>
    <row r="442" spans="2:81" ht="13.2" x14ac:dyDescent="0.2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</row>
    <row r="443" spans="2:81" ht="13.2" x14ac:dyDescent="0.2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</row>
    <row r="444" spans="2:81" ht="13.2" x14ac:dyDescent="0.2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</row>
    <row r="445" spans="2:81" ht="13.2" x14ac:dyDescent="0.2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</row>
    <row r="446" spans="2:81" ht="13.2" x14ac:dyDescent="0.2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</row>
    <row r="447" spans="2:81" ht="13.2" x14ac:dyDescent="0.2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</row>
    <row r="448" spans="2:81" ht="13.2" x14ac:dyDescent="0.2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</row>
    <row r="449" spans="2:81" ht="13.2" x14ac:dyDescent="0.2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</row>
    <row r="450" spans="2:81" ht="13.2" x14ac:dyDescent="0.2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</row>
    <row r="451" spans="2:81" ht="13.2" x14ac:dyDescent="0.2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</row>
    <row r="452" spans="2:81" ht="13.2" x14ac:dyDescent="0.2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</row>
    <row r="453" spans="2:81" ht="13.2" x14ac:dyDescent="0.2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</row>
    <row r="454" spans="2:81" ht="13.2" x14ac:dyDescent="0.2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</row>
    <row r="455" spans="2:81" ht="13.2" x14ac:dyDescent="0.2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</row>
    <row r="456" spans="2:81" ht="13.2" x14ac:dyDescent="0.2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</row>
    <row r="457" spans="2:81" ht="13.2" x14ac:dyDescent="0.2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</row>
    <row r="458" spans="2:81" ht="13.2" x14ac:dyDescent="0.2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</row>
    <row r="459" spans="2:81" ht="13.2" x14ac:dyDescent="0.2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</row>
    <row r="460" spans="2:81" ht="13.2" x14ac:dyDescent="0.2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</row>
    <row r="461" spans="2:81" ht="13.2" x14ac:dyDescent="0.2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</row>
    <row r="462" spans="2:81" ht="13.2" x14ac:dyDescent="0.2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</row>
    <row r="463" spans="2:81" ht="13.2" x14ac:dyDescent="0.2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</row>
    <row r="464" spans="2:81" ht="13.2" x14ac:dyDescent="0.2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</row>
    <row r="465" spans="2:81" ht="13.2" x14ac:dyDescent="0.2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</row>
    <row r="466" spans="2:81" ht="13.2" x14ac:dyDescent="0.2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</row>
    <row r="467" spans="2:81" ht="13.2" x14ac:dyDescent="0.2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</row>
    <row r="468" spans="2:81" ht="13.2" x14ac:dyDescent="0.2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</row>
    <row r="469" spans="2:81" ht="13.2" x14ac:dyDescent="0.2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</row>
    <row r="470" spans="2:81" ht="13.2" x14ac:dyDescent="0.2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</row>
    <row r="471" spans="2:81" ht="13.2" x14ac:dyDescent="0.2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</row>
    <row r="472" spans="2:81" ht="13.2" x14ac:dyDescent="0.2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</row>
    <row r="473" spans="2:81" ht="13.2" x14ac:dyDescent="0.2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</row>
    <row r="474" spans="2:81" ht="13.2" x14ac:dyDescent="0.2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</row>
    <row r="475" spans="2:81" ht="13.2" x14ac:dyDescent="0.2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</row>
    <row r="476" spans="2:81" ht="13.2" x14ac:dyDescent="0.2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</row>
    <row r="477" spans="2:81" ht="13.2" x14ac:dyDescent="0.2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</row>
    <row r="478" spans="2:81" ht="13.2" x14ac:dyDescent="0.2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</row>
    <row r="479" spans="2:81" ht="13.2" x14ac:dyDescent="0.2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</row>
    <row r="480" spans="2:81" ht="13.2" x14ac:dyDescent="0.2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</row>
    <row r="481" spans="2:81" ht="13.2" x14ac:dyDescent="0.2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</row>
    <row r="482" spans="2:81" ht="13.2" x14ac:dyDescent="0.2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</row>
    <row r="483" spans="2:81" ht="13.2" x14ac:dyDescent="0.2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</row>
    <row r="484" spans="2:81" ht="13.2" x14ac:dyDescent="0.2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</row>
    <row r="485" spans="2:81" ht="13.2" x14ac:dyDescent="0.2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</row>
    <row r="486" spans="2:81" ht="13.2" x14ac:dyDescent="0.2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</row>
    <row r="487" spans="2:81" ht="13.2" x14ac:dyDescent="0.2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</row>
    <row r="488" spans="2:81" ht="13.2" x14ac:dyDescent="0.2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</row>
    <row r="489" spans="2:81" ht="13.2" x14ac:dyDescent="0.2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</row>
    <row r="490" spans="2:81" ht="13.2" x14ac:dyDescent="0.2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</row>
    <row r="491" spans="2:81" ht="13.2" x14ac:dyDescent="0.2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</row>
    <row r="492" spans="2:81" ht="13.2" x14ac:dyDescent="0.2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</row>
    <row r="493" spans="2:81" ht="13.2" x14ac:dyDescent="0.2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</row>
    <row r="494" spans="2:81" ht="13.2" x14ac:dyDescent="0.2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</row>
    <row r="495" spans="2:81" ht="13.2" x14ac:dyDescent="0.2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</row>
    <row r="496" spans="2:81" ht="13.2" x14ac:dyDescent="0.2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</row>
    <row r="497" spans="2:81" ht="13.2" x14ac:dyDescent="0.2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</row>
    <row r="498" spans="2:81" ht="13.2" x14ac:dyDescent="0.2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</row>
    <row r="499" spans="2:81" ht="13.2" x14ac:dyDescent="0.2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</row>
    <row r="500" spans="2:81" ht="13.2" x14ac:dyDescent="0.2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</row>
    <row r="501" spans="2:81" ht="13.2" x14ac:dyDescent="0.2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</row>
    <row r="502" spans="2:81" ht="13.2" x14ac:dyDescent="0.2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</row>
    <row r="503" spans="2:81" ht="13.2" x14ac:dyDescent="0.2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</row>
    <row r="504" spans="2:81" ht="13.2" x14ac:dyDescent="0.2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</row>
    <row r="505" spans="2:81" ht="13.2" x14ac:dyDescent="0.2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</row>
    <row r="506" spans="2:81" ht="13.2" x14ac:dyDescent="0.2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</row>
    <row r="507" spans="2:81" ht="13.2" x14ac:dyDescent="0.2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</row>
    <row r="508" spans="2:81" ht="13.2" x14ac:dyDescent="0.2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</row>
    <row r="509" spans="2:81" ht="13.2" x14ac:dyDescent="0.2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</row>
    <row r="510" spans="2:81" ht="13.2" x14ac:dyDescent="0.2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</row>
    <row r="511" spans="2:81" ht="13.2" x14ac:dyDescent="0.2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</row>
    <row r="512" spans="2:81" ht="13.2" x14ac:dyDescent="0.2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</row>
    <row r="513" spans="2:81" ht="13.2" x14ac:dyDescent="0.2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</row>
    <row r="514" spans="2:81" ht="13.2" x14ac:dyDescent="0.2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</row>
    <row r="515" spans="2:81" ht="13.2" x14ac:dyDescent="0.2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</row>
    <row r="516" spans="2:81" ht="13.2" x14ac:dyDescent="0.2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</row>
    <row r="517" spans="2:81" ht="13.2" x14ac:dyDescent="0.2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</row>
    <row r="518" spans="2:81" ht="13.2" x14ac:dyDescent="0.2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</row>
    <row r="519" spans="2:81" ht="13.2" x14ac:dyDescent="0.2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</row>
    <row r="520" spans="2:81" ht="13.2" x14ac:dyDescent="0.2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</row>
    <row r="521" spans="2:81" ht="13.2" x14ac:dyDescent="0.2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</row>
    <row r="522" spans="2:81" ht="13.2" x14ac:dyDescent="0.2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</row>
    <row r="523" spans="2:81" ht="13.2" x14ac:dyDescent="0.2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</row>
    <row r="524" spans="2:81" ht="13.2" x14ac:dyDescent="0.2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</row>
    <row r="525" spans="2:81" ht="13.2" x14ac:dyDescent="0.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</row>
    <row r="526" spans="2:81" ht="13.2" x14ac:dyDescent="0.2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</row>
    <row r="527" spans="2:81" ht="13.2" x14ac:dyDescent="0.2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</row>
    <row r="528" spans="2:81" ht="13.2" x14ac:dyDescent="0.2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</row>
    <row r="529" spans="2:81" ht="13.2" x14ac:dyDescent="0.2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</row>
    <row r="530" spans="2:81" ht="13.2" x14ac:dyDescent="0.2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</row>
    <row r="531" spans="2:81" ht="13.2" x14ac:dyDescent="0.2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</row>
    <row r="532" spans="2:81" ht="13.2" x14ac:dyDescent="0.2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</row>
    <row r="533" spans="2:81" ht="13.2" x14ac:dyDescent="0.2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</row>
    <row r="534" spans="2:81" ht="13.2" x14ac:dyDescent="0.2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</row>
    <row r="535" spans="2:81" ht="13.2" x14ac:dyDescent="0.2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</row>
    <row r="536" spans="2:81" ht="13.2" x14ac:dyDescent="0.2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</row>
    <row r="537" spans="2:81" ht="13.2" x14ac:dyDescent="0.2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</row>
    <row r="538" spans="2:81" ht="13.2" x14ac:dyDescent="0.2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</row>
    <row r="539" spans="2:81" ht="13.2" x14ac:dyDescent="0.2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</row>
    <row r="540" spans="2:81" ht="13.2" x14ac:dyDescent="0.2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</row>
    <row r="541" spans="2:81" ht="13.2" x14ac:dyDescent="0.2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</row>
    <row r="542" spans="2:81" ht="13.2" x14ac:dyDescent="0.2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</row>
    <row r="543" spans="2:81" ht="13.2" x14ac:dyDescent="0.2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</row>
    <row r="544" spans="2:81" ht="13.2" x14ac:dyDescent="0.2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</row>
    <row r="545" spans="2:81" ht="13.2" x14ac:dyDescent="0.2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</row>
    <row r="546" spans="2:81" ht="13.2" x14ac:dyDescent="0.2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</row>
    <row r="547" spans="2:81" ht="13.2" x14ac:dyDescent="0.2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</row>
    <row r="548" spans="2:81" ht="13.2" x14ac:dyDescent="0.2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</row>
    <row r="549" spans="2:81" ht="13.2" x14ac:dyDescent="0.2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</row>
    <row r="550" spans="2:81" ht="13.2" x14ac:dyDescent="0.2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</row>
    <row r="551" spans="2:81" ht="13.2" x14ac:dyDescent="0.2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</row>
    <row r="552" spans="2:81" ht="13.2" x14ac:dyDescent="0.2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</row>
    <row r="553" spans="2:81" ht="13.2" x14ac:dyDescent="0.2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</row>
    <row r="554" spans="2:81" ht="13.2" x14ac:dyDescent="0.2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</row>
    <row r="555" spans="2:81" ht="13.2" x14ac:dyDescent="0.2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</row>
    <row r="556" spans="2:81" ht="13.2" x14ac:dyDescent="0.2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</row>
    <row r="557" spans="2:81" ht="13.2" x14ac:dyDescent="0.2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</row>
    <row r="558" spans="2:81" ht="13.2" x14ac:dyDescent="0.2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</row>
    <row r="559" spans="2:81" ht="13.2" x14ac:dyDescent="0.2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</row>
    <row r="560" spans="2:81" ht="13.2" x14ac:dyDescent="0.2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</row>
    <row r="561" spans="2:81" ht="13.2" x14ac:dyDescent="0.2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</row>
    <row r="562" spans="2:81" ht="13.2" x14ac:dyDescent="0.2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</row>
    <row r="563" spans="2:81" ht="13.2" x14ac:dyDescent="0.2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</row>
    <row r="564" spans="2:81" ht="13.2" x14ac:dyDescent="0.2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</row>
    <row r="565" spans="2:81" ht="13.2" x14ac:dyDescent="0.2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</row>
    <row r="566" spans="2:81" ht="13.2" x14ac:dyDescent="0.2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</row>
    <row r="567" spans="2:81" ht="13.2" x14ac:dyDescent="0.2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</row>
    <row r="568" spans="2:81" ht="13.2" x14ac:dyDescent="0.2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</row>
    <row r="569" spans="2:81" ht="13.2" x14ac:dyDescent="0.2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</row>
    <row r="570" spans="2:81" ht="13.2" x14ac:dyDescent="0.2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</row>
    <row r="571" spans="2:81" ht="13.2" x14ac:dyDescent="0.2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</row>
    <row r="572" spans="2:81" ht="13.2" x14ac:dyDescent="0.2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</row>
    <row r="573" spans="2:81" ht="13.2" x14ac:dyDescent="0.2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</row>
    <row r="574" spans="2:81" ht="13.2" x14ac:dyDescent="0.2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</row>
    <row r="575" spans="2:81" ht="13.2" x14ac:dyDescent="0.2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</row>
    <row r="576" spans="2:81" ht="13.2" x14ac:dyDescent="0.2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</row>
    <row r="577" spans="2:81" ht="13.2" x14ac:dyDescent="0.2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</row>
    <row r="578" spans="2:81" ht="13.2" x14ac:dyDescent="0.2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</row>
    <row r="579" spans="2:81" ht="13.2" x14ac:dyDescent="0.2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</row>
    <row r="580" spans="2:81" ht="13.2" x14ac:dyDescent="0.2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</row>
    <row r="581" spans="2:81" ht="13.2" x14ac:dyDescent="0.2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</row>
    <row r="582" spans="2:81" ht="13.2" x14ac:dyDescent="0.2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</row>
    <row r="583" spans="2:81" ht="13.2" x14ac:dyDescent="0.2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</row>
    <row r="584" spans="2:81" ht="13.2" x14ac:dyDescent="0.2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</row>
    <row r="585" spans="2:81" ht="13.2" x14ac:dyDescent="0.2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</row>
    <row r="586" spans="2:81" ht="13.2" x14ac:dyDescent="0.2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</row>
    <row r="587" spans="2:81" ht="13.2" x14ac:dyDescent="0.2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</row>
    <row r="588" spans="2:81" ht="13.2" x14ac:dyDescent="0.2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</row>
    <row r="589" spans="2:81" ht="13.2" x14ac:dyDescent="0.2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</row>
    <row r="590" spans="2:81" ht="13.2" x14ac:dyDescent="0.2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</row>
    <row r="591" spans="2:81" ht="13.2" x14ac:dyDescent="0.2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</row>
    <row r="592" spans="2:81" ht="13.2" x14ac:dyDescent="0.2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</row>
    <row r="593" spans="2:81" ht="13.2" x14ac:dyDescent="0.2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</row>
    <row r="594" spans="2:81" ht="13.2" x14ac:dyDescent="0.2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</row>
    <row r="595" spans="2:81" ht="13.2" x14ac:dyDescent="0.2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</row>
    <row r="596" spans="2:81" ht="13.2" x14ac:dyDescent="0.2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</row>
    <row r="597" spans="2:81" ht="13.2" x14ac:dyDescent="0.2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</row>
    <row r="598" spans="2:81" ht="13.2" x14ac:dyDescent="0.2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</row>
    <row r="599" spans="2:81" ht="13.2" x14ac:dyDescent="0.2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</row>
    <row r="600" spans="2:81" ht="13.2" x14ac:dyDescent="0.2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</row>
    <row r="601" spans="2:81" ht="13.2" x14ac:dyDescent="0.2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</row>
    <row r="602" spans="2:81" ht="13.2" x14ac:dyDescent="0.2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</row>
    <row r="603" spans="2:81" ht="13.2" x14ac:dyDescent="0.2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</row>
    <row r="604" spans="2:81" ht="13.2" x14ac:dyDescent="0.2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</row>
    <row r="605" spans="2:81" ht="13.2" x14ac:dyDescent="0.2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</row>
    <row r="606" spans="2:81" ht="13.2" x14ac:dyDescent="0.2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</row>
    <row r="607" spans="2:81" ht="13.2" x14ac:dyDescent="0.2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</row>
    <row r="608" spans="2:81" ht="13.2" x14ac:dyDescent="0.2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</row>
    <row r="609" spans="2:81" ht="13.2" x14ac:dyDescent="0.2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</row>
    <row r="610" spans="2:81" ht="13.2" x14ac:dyDescent="0.2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</row>
    <row r="611" spans="2:81" ht="13.2" x14ac:dyDescent="0.2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</row>
    <row r="612" spans="2:81" ht="13.2" x14ac:dyDescent="0.2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</row>
    <row r="613" spans="2:81" ht="13.2" x14ac:dyDescent="0.2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</row>
    <row r="614" spans="2:81" ht="13.2" x14ac:dyDescent="0.2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</row>
    <row r="615" spans="2:81" ht="13.2" x14ac:dyDescent="0.2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</row>
    <row r="616" spans="2:81" ht="13.2" x14ac:dyDescent="0.2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</row>
    <row r="617" spans="2:81" ht="13.2" x14ac:dyDescent="0.2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</row>
    <row r="618" spans="2:81" ht="13.2" x14ac:dyDescent="0.2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</row>
    <row r="619" spans="2:81" ht="13.2" x14ac:dyDescent="0.2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</row>
    <row r="620" spans="2:81" ht="13.2" x14ac:dyDescent="0.2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</row>
    <row r="621" spans="2:81" ht="13.2" x14ac:dyDescent="0.2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</row>
    <row r="622" spans="2:81" ht="13.2" x14ac:dyDescent="0.2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</row>
    <row r="623" spans="2:81" ht="13.2" x14ac:dyDescent="0.2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</row>
    <row r="624" spans="2:81" ht="13.2" x14ac:dyDescent="0.2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</row>
    <row r="625" spans="2:81" ht="13.2" x14ac:dyDescent="0.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</row>
    <row r="626" spans="2:81" ht="13.2" x14ac:dyDescent="0.2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</row>
    <row r="627" spans="2:81" ht="13.2" x14ac:dyDescent="0.2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</row>
    <row r="628" spans="2:81" ht="13.2" x14ac:dyDescent="0.2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</row>
    <row r="629" spans="2:81" ht="13.2" x14ac:dyDescent="0.2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</row>
    <row r="630" spans="2:81" ht="13.2" x14ac:dyDescent="0.2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</row>
    <row r="631" spans="2:81" ht="13.2" x14ac:dyDescent="0.2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</row>
    <row r="632" spans="2:81" ht="13.2" x14ac:dyDescent="0.2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</row>
    <row r="633" spans="2:81" ht="13.2" x14ac:dyDescent="0.2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</row>
    <row r="634" spans="2:81" ht="13.2" x14ac:dyDescent="0.2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</row>
    <row r="635" spans="2:81" ht="13.2" x14ac:dyDescent="0.2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</row>
    <row r="636" spans="2:81" ht="13.2" x14ac:dyDescent="0.2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</row>
    <row r="637" spans="2:81" ht="13.2" x14ac:dyDescent="0.2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</row>
    <row r="638" spans="2:81" ht="13.2" x14ac:dyDescent="0.2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</row>
    <row r="639" spans="2:81" ht="13.2" x14ac:dyDescent="0.2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</row>
    <row r="640" spans="2:81" ht="13.2" x14ac:dyDescent="0.2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</row>
    <row r="641" spans="2:81" ht="13.2" x14ac:dyDescent="0.2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</row>
    <row r="642" spans="2:81" ht="13.2" x14ac:dyDescent="0.2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</row>
    <row r="643" spans="2:81" ht="13.2" x14ac:dyDescent="0.2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</row>
    <row r="644" spans="2:81" ht="13.2" x14ac:dyDescent="0.2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</row>
    <row r="645" spans="2:81" ht="13.2" x14ac:dyDescent="0.2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</row>
    <row r="646" spans="2:81" ht="13.2" x14ac:dyDescent="0.2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</row>
    <row r="647" spans="2:81" ht="13.2" x14ac:dyDescent="0.2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</row>
    <row r="648" spans="2:81" ht="13.2" x14ac:dyDescent="0.2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</row>
    <row r="649" spans="2:81" ht="13.2" x14ac:dyDescent="0.2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</row>
    <row r="650" spans="2:81" ht="13.2" x14ac:dyDescent="0.2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</row>
    <row r="651" spans="2:81" ht="13.2" x14ac:dyDescent="0.2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</row>
    <row r="652" spans="2:81" ht="13.2" x14ac:dyDescent="0.2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</row>
    <row r="653" spans="2:81" ht="13.2" x14ac:dyDescent="0.2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</row>
    <row r="654" spans="2:81" ht="13.2" x14ac:dyDescent="0.2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</row>
    <row r="655" spans="2:81" ht="13.2" x14ac:dyDescent="0.2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</row>
    <row r="656" spans="2:81" ht="13.2" x14ac:dyDescent="0.2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</row>
    <row r="657" spans="2:81" ht="13.2" x14ac:dyDescent="0.2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</row>
    <row r="658" spans="2:81" ht="13.2" x14ac:dyDescent="0.2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</row>
    <row r="659" spans="2:81" ht="13.2" x14ac:dyDescent="0.2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</row>
    <row r="660" spans="2:81" ht="13.2" x14ac:dyDescent="0.2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</row>
    <row r="661" spans="2:81" ht="13.2" x14ac:dyDescent="0.2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</row>
    <row r="662" spans="2:81" ht="13.2" x14ac:dyDescent="0.2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</row>
    <row r="663" spans="2:81" ht="13.2" x14ac:dyDescent="0.2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</row>
    <row r="664" spans="2:81" ht="13.2" x14ac:dyDescent="0.2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</row>
    <row r="665" spans="2:81" ht="13.2" x14ac:dyDescent="0.2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</row>
    <row r="666" spans="2:81" ht="13.2" x14ac:dyDescent="0.2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</row>
    <row r="667" spans="2:81" ht="13.2" x14ac:dyDescent="0.2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</row>
    <row r="668" spans="2:81" ht="13.2" x14ac:dyDescent="0.2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</row>
    <row r="669" spans="2:81" ht="13.2" x14ac:dyDescent="0.2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</row>
    <row r="670" spans="2:81" ht="13.2" x14ac:dyDescent="0.2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</row>
    <row r="671" spans="2:81" ht="13.2" x14ac:dyDescent="0.2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</row>
    <row r="672" spans="2:81" ht="13.2" x14ac:dyDescent="0.2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</row>
    <row r="673" spans="2:81" ht="13.2" x14ac:dyDescent="0.2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</row>
    <row r="674" spans="2:81" ht="13.2" x14ac:dyDescent="0.2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</row>
    <row r="675" spans="2:81" ht="13.2" x14ac:dyDescent="0.2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</row>
    <row r="676" spans="2:81" ht="13.2" x14ac:dyDescent="0.2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</row>
    <row r="677" spans="2:81" ht="13.2" x14ac:dyDescent="0.2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</row>
    <row r="678" spans="2:81" ht="13.2" x14ac:dyDescent="0.2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</row>
    <row r="679" spans="2:81" ht="13.2" x14ac:dyDescent="0.2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</row>
    <row r="680" spans="2:81" ht="13.2" x14ac:dyDescent="0.2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</row>
    <row r="681" spans="2:81" ht="13.2" x14ac:dyDescent="0.2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</row>
    <row r="682" spans="2:81" ht="13.2" x14ac:dyDescent="0.2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</row>
    <row r="683" spans="2:81" ht="13.2" x14ac:dyDescent="0.2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</row>
    <row r="684" spans="2:81" ht="13.2" x14ac:dyDescent="0.2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</row>
    <row r="685" spans="2:81" ht="13.2" x14ac:dyDescent="0.2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</row>
    <row r="686" spans="2:81" ht="13.2" x14ac:dyDescent="0.2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</row>
    <row r="687" spans="2:81" ht="13.2" x14ac:dyDescent="0.2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</row>
    <row r="688" spans="2:81" ht="13.2" x14ac:dyDescent="0.2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</row>
    <row r="689" spans="2:81" ht="13.2" x14ac:dyDescent="0.2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</row>
    <row r="690" spans="2:81" ht="13.2" x14ac:dyDescent="0.2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</row>
    <row r="691" spans="2:81" ht="13.2" x14ac:dyDescent="0.2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</row>
    <row r="692" spans="2:81" ht="13.2" x14ac:dyDescent="0.2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</row>
    <row r="693" spans="2:81" ht="13.2" x14ac:dyDescent="0.2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</row>
    <row r="694" spans="2:81" ht="13.2" x14ac:dyDescent="0.2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</row>
    <row r="695" spans="2:81" ht="13.2" x14ac:dyDescent="0.2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</row>
    <row r="696" spans="2:81" ht="13.2" x14ac:dyDescent="0.2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</row>
    <row r="697" spans="2:81" ht="13.2" x14ac:dyDescent="0.2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</row>
    <row r="698" spans="2:81" ht="13.2" x14ac:dyDescent="0.2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</row>
    <row r="699" spans="2:81" ht="13.2" x14ac:dyDescent="0.2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</row>
    <row r="700" spans="2:81" ht="13.2" x14ac:dyDescent="0.2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</row>
    <row r="701" spans="2:81" ht="13.2" x14ac:dyDescent="0.2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</row>
    <row r="702" spans="2:81" ht="13.2" x14ac:dyDescent="0.2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</row>
    <row r="703" spans="2:81" ht="13.2" x14ac:dyDescent="0.2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</row>
    <row r="704" spans="2:81" ht="13.2" x14ac:dyDescent="0.2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</row>
    <row r="705" spans="2:81" ht="13.2" x14ac:dyDescent="0.2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</row>
    <row r="706" spans="2:81" ht="13.2" x14ac:dyDescent="0.2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</row>
    <row r="707" spans="2:81" ht="13.2" x14ac:dyDescent="0.2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</row>
    <row r="708" spans="2:81" ht="13.2" x14ac:dyDescent="0.2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</row>
    <row r="709" spans="2:81" ht="13.2" x14ac:dyDescent="0.2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</row>
    <row r="710" spans="2:81" ht="13.2" x14ac:dyDescent="0.2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</row>
    <row r="711" spans="2:81" ht="13.2" x14ac:dyDescent="0.2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</row>
    <row r="712" spans="2:81" ht="13.2" x14ac:dyDescent="0.2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</row>
    <row r="713" spans="2:81" ht="13.2" x14ac:dyDescent="0.2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</row>
    <row r="714" spans="2:81" ht="13.2" x14ac:dyDescent="0.2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</row>
    <row r="715" spans="2:81" ht="13.2" x14ac:dyDescent="0.2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</row>
    <row r="716" spans="2:81" ht="13.2" x14ac:dyDescent="0.2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</row>
    <row r="717" spans="2:81" ht="13.2" x14ac:dyDescent="0.2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</row>
    <row r="718" spans="2:81" ht="13.2" x14ac:dyDescent="0.2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</row>
    <row r="719" spans="2:81" ht="13.2" x14ac:dyDescent="0.2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</row>
    <row r="720" spans="2:81" ht="13.2" x14ac:dyDescent="0.2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</row>
    <row r="721" spans="2:81" ht="13.2" x14ac:dyDescent="0.2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</row>
    <row r="722" spans="2:81" ht="13.2" x14ac:dyDescent="0.2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</row>
    <row r="723" spans="2:81" ht="13.2" x14ac:dyDescent="0.2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</row>
    <row r="724" spans="2:81" ht="13.2" x14ac:dyDescent="0.2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</row>
    <row r="725" spans="2:81" ht="13.2" x14ac:dyDescent="0.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</row>
    <row r="726" spans="2:81" ht="13.2" x14ac:dyDescent="0.2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</row>
    <row r="727" spans="2:81" ht="13.2" x14ac:dyDescent="0.2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</row>
    <row r="728" spans="2:81" ht="13.2" x14ac:dyDescent="0.2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</row>
    <row r="729" spans="2:81" ht="13.2" x14ac:dyDescent="0.2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</row>
    <row r="730" spans="2:81" ht="13.2" x14ac:dyDescent="0.2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</row>
    <row r="731" spans="2:81" ht="13.2" x14ac:dyDescent="0.2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</row>
    <row r="732" spans="2:81" ht="13.2" x14ac:dyDescent="0.2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</row>
    <row r="733" spans="2:81" ht="13.2" x14ac:dyDescent="0.2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</row>
    <row r="734" spans="2:81" ht="13.2" x14ac:dyDescent="0.2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</row>
    <row r="735" spans="2:81" ht="13.2" x14ac:dyDescent="0.2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</row>
    <row r="736" spans="2:81" ht="13.2" x14ac:dyDescent="0.2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</row>
    <row r="737" spans="2:81" ht="13.2" x14ac:dyDescent="0.2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</row>
    <row r="738" spans="2:81" ht="13.2" x14ac:dyDescent="0.2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</row>
    <row r="739" spans="2:81" ht="13.2" x14ac:dyDescent="0.2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</row>
    <row r="740" spans="2:81" ht="13.2" x14ac:dyDescent="0.2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</row>
    <row r="741" spans="2:81" ht="13.2" x14ac:dyDescent="0.2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</row>
    <row r="742" spans="2:81" ht="13.2" x14ac:dyDescent="0.2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</row>
    <row r="743" spans="2:81" ht="13.2" x14ac:dyDescent="0.2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</row>
    <row r="744" spans="2:81" ht="13.2" x14ac:dyDescent="0.2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</row>
    <row r="745" spans="2:81" ht="13.2" x14ac:dyDescent="0.2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</row>
    <row r="746" spans="2:81" ht="13.2" x14ac:dyDescent="0.2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</row>
    <row r="747" spans="2:81" ht="13.2" x14ac:dyDescent="0.2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</row>
    <row r="748" spans="2:81" ht="13.2" x14ac:dyDescent="0.2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</row>
    <row r="749" spans="2:81" ht="13.2" x14ac:dyDescent="0.2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</row>
    <row r="750" spans="2:81" ht="13.2" x14ac:dyDescent="0.2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</row>
    <row r="751" spans="2:81" ht="13.2" x14ac:dyDescent="0.2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</row>
    <row r="752" spans="2:81" ht="13.2" x14ac:dyDescent="0.2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</row>
    <row r="753" spans="2:81" ht="13.2" x14ac:dyDescent="0.2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</row>
    <row r="754" spans="2:81" ht="13.2" x14ac:dyDescent="0.2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</row>
    <row r="755" spans="2:81" ht="13.2" x14ac:dyDescent="0.2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</row>
    <row r="756" spans="2:81" ht="13.2" x14ac:dyDescent="0.2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</row>
    <row r="757" spans="2:81" ht="13.2" x14ac:dyDescent="0.2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</row>
    <row r="758" spans="2:81" ht="13.2" x14ac:dyDescent="0.2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</row>
    <row r="759" spans="2:81" ht="13.2" x14ac:dyDescent="0.2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</row>
    <row r="760" spans="2:81" ht="13.2" x14ac:dyDescent="0.2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</row>
    <row r="761" spans="2:81" ht="13.2" x14ac:dyDescent="0.2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</row>
    <row r="762" spans="2:81" ht="13.2" x14ac:dyDescent="0.2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</row>
    <row r="763" spans="2:81" ht="13.2" x14ac:dyDescent="0.2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</row>
    <row r="764" spans="2:81" ht="13.2" x14ac:dyDescent="0.2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</row>
    <row r="765" spans="2:81" ht="13.2" x14ac:dyDescent="0.2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</row>
    <row r="766" spans="2:81" ht="13.2" x14ac:dyDescent="0.2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</row>
    <row r="767" spans="2:81" ht="13.2" x14ac:dyDescent="0.2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</row>
    <row r="768" spans="2:81" ht="13.2" x14ac:dyDescent="0.2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</row>
    <row r="769" spans="2:81" ht="13.2" x14ac:dyDescent="0.2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</row>
    <row r="770" spans="2:81" ht="13.2" x14ac:dyDescent="0.2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</row>
    <row r="771" spans="2:81" ht="13.2" x14ac:dyDescent="0.2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</row>
    <row r="772" spans="2:81" ht="13.2" x14ac:dyDescent="0.2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</row>
    <row r="773" spans="2:81" ht="13.2" x14ac:dyDescent="0.2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</row>
    <row r="774" spans="2:81" ht="13.2" x14ac:dyDescent="0.2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</row>
    <row r="775" spans="2:81" ht="13.2" x14ac:dyDescent="0.2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</row>
    <row r="776" spans="2:81" ht="13.2" x14ac:dyDescent="0.2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</row>
    <row r="777" spans="2:81" ht="13.2" x14ac:dyDescent="0.2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</row>
    <row r="778" spans="2:81" ht="13.2" x14ac:dyDescent="0.2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</row>
    <row r="779" spans="2:81" ht="13.2" x14ac:dyDescent="0.2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</row>
    <row r="780" spans="2:81" ht="13.2" x14ac:dyDescent="0.2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</row>
    <row r="781" spans="2:81" ht="13.2" x14ac:dyDescent="0.2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</row>
    <row r="782" spans="2:81" ht="13.2" x14ac:dyDescent="0.2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</row>
    <row r="783" spans="2:81" ht="13.2" x14ac:dyDescent="0.2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</row>
    <row r="784" spans="2:81" ht="13.2" x14ac:dyDescent="0.2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</row>
    <row r="785" spans="2:81" ht="13.2" x14ac:dyDescent="0.2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</row>
    <row r="786" spans="2:81" ht="13.2" x14ac:dyDescent="0.2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</row>
    <row r="787" spans="2:81" ht="13.2" x14ac:dyDescent="0.2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</row>
    <row r="788" spans="2:81" ht="13.2" x14ac:dyDescent="0.2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</row>
    <row r="789" spans="2:81" ht="13.2" x14ac:dyDescent="0.2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</row>
    <row r="790" spans="2:81" ht="13.2" x14ac:dyDescent="0.2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</row>
    <row r="791" spans="2:81" ht="13.2" x14ac:dyDescent="0.2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</row>
    <row r="792" spans="2:81" ht="13.2" x14ac:dyDescent="0.2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</row>
    <row r="793" spans="2:81" ht="13.2" x14ac:dyDescent="0.2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</row>
    <row r="794" spans="2:81" ht="13.2" x14ac:dyDescent="0.2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</row>
    <row r="795" spans="2:81" ht="13.2" x14ac:dyDescent="0.2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</row>
    <row r="796" spans="2:81" ht="13.2" x14ac:dyDescent="0.2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</row>
    <row r="797" spans="2:81" ht="13.2" x14ac:dyDescent="0.2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</row>
    <row r="798" spans="2:81" ht="13.2" x14ac:dyDescent="0.2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</row>
    <row r="799" spans="2:81" ht="13.2" x14ac:dyDescent="0.2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</row>
    <row r="800" spans="2:81" ht="13.2" x14ac:dyDescent="0.2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</row>
    <row r="801" spans="2:81" ht="13.2" x14ac:dyDescent="0.2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</row>
    <row r="802" spans="2:81" ht="13.2" x14ac:dyDescent="0.2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</row>
    <row r="803" spans="2:81" ht="13.2" x14ac:dyDescent="0.2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</row>
    <row r="804" spans="2:81" ht="13.2" x14ac:dyDescent="0.2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</row>
    <row r="805" spans="2:81" ht="13.2" x14ac:dyDescent="0.2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</row>
    <row r="806" spans="2:81" ht="13.2" x14ac:dyDescent="0.2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</row>
    <row r="807" spans="2:81" ht="13.2" x14ac:dyDescent="0.2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</row>
    <row r="808" spans="2:81" ht="13.2" x14ac:dyDescent="0.2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</row>
    <row r="809" spans="2:81" ht="13.2" x14ac:dyDescent="0.2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</row>
    <row r="810" spans="2:81" ht="13.2" x14ac:dyDescent="0.2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</row>
    <row r="811" spans="2:81" ht="13.2" x14ac:dyDescent="0.2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</row>
    <row r="812" spans="2:81" ht="13.2" x14ac:dyDescent="0.2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</row>
    <row r="813" spans="2:81" ht="13.2" x14ac:dyDescent="0.2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</row>
    <row r="814" spans="2:81" ht="13.2" x14ac:dyDescent="0.2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</row>
    <row r="815" spans="2:81" ht="13.2" x14ac:dyDescent="0.2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</row>
    <row r="816" spans="2:81" ht="13.2" x14ac:dyDescent="0.2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</row>
    <row r="817" spans="2:81" ht="13.2" x14ac:dyDescent="0.2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</row>
    <row r="818" spans="2:81" ht="13.2" x14ac:dyDescent="0.2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</row>
    <row r="819" spans="2:81" ht="13.2" x14ac:dyDescent="0.2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</row>
    <row r="820" spans="2:81" ht="13.2" x14ac:dyDescent="0.2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</row>
    <row r="821" spans="2:81" ht="13.2" x14ac:dyDescent="0.2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</row>
    <row r="822" spans="2:81" ht="13.2" x14ac:dyDescent="0.2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</row>
    <row r="823" spans="2:81" ht="13.2" x14ac:dyDescent="0.2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</row>
    <row r="824" spans="2:81" ht="13.2" x14ac:dyDescent="0.2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</row>
    <row r="825" spans="2:81" ht="13.2" x14ac:dyDescent="0.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</row>
    <row r="826" spans="2:81" ht="13.2" x14ac:dyDescent="0.2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</row>
    <row r="827" spans="2:81" ht="13.2" x14ac:dyDescent="0.2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</row>
    <row r="828" spans="2:81" ht="13.2" x14ac:dyDescent="0.2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</row>
    <row r="829" spans="2:81" ht="13.2" x14ac:dyDescent="0.2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</row>
    <row r="830" spans="2:81" ht="13.2" x14ac:dyDescent="0.2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</row>
    <row r="831" spans="2:81" ht="13.2" x14ac:dyDescent="0.2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</row>
    <row r="832" spans="2:81" ht="13.2" x14ac:dyDescent="0.2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</row>
    <row r="833" spans="2:81" ht="13.2" x14ac:dyDescent="0.2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</row>
    <row r="834" spans="2:81" ht="13.2" x14ac:dyDescent="0.2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</row>
    <row r="835" spans="2:81" ht="13.2" x14ac:dyDescent="0.2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</row>
    <row r="836" spans="2:81" ht="13.2" x14ac:dyDescent="0.2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</row>
    <row r="837" spans="2:81" ht="13.2" x14ac:dyDescent="0.2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</row>
    <row r="838" spans="2:81" ht="13.2" x14ac:dyDescent="0.2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</row>
    <row r="839" spans="2:81" ht="13.2" x14ac:dyDescent="0.2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</row>
    <row r="840" spans="2:81" ht="13.2" x14ac:dyDescent="0.2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</row>
    <row r="841" spans="2:81" ht="13.2" x14ac:dyDescent="0.2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</row>
    <row r="842" spans="2:81" ht="13.2" x14ac:dyDescent="0.2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</row>
    <row r="843" spans="2:81" ht="13.2" x14ac:dyDescent="0.2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</row>
    <row r="844" spans="2:81" ht="13.2" x14ac:dyDescent="0.2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</row>
    <row r="845" spans="2:81" ht="13.2" x14ac:dyDescent="0.2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</row>
    <row r="846" spans="2:81" ht="13.2" x14ac:dyDescent="0.2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</row>
    <row r="847" spans="2:81" ht="13.2" x14ac:dyDescent="0.2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</row>
    <row r="848" spans="2:81" ht="13.2" x14ac:dyDescent="0.2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</row>
    <row r="849" spans="2:81" ht="13.2" x14ac:dyDescent="0.2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</row>
    <row r="850" spans="2:81" ht="13.2" x14ac:dyDescent="0.2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</row>
    <row r="851" spans="2:81" ht="13.2" x14ac:dyDescent="0.2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</row>
    <row r="852" spans="2:81" ht="13.2" x14ac:dyDescent="0.2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</row>
    <row r="853" spans="2:81" ht="13.2" x14ac:dyDescent="0.2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</row>
    <row r="854" spans="2:81" ht="13.2" x14ac:dyDescent="0.2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</row>
    <row r="855" spans="2:81" ht="13.2" x14ac:dyDescent="0.2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</row>
    <row r="856" spans="2:81" ht="13.2" x14ac:dyDescent="0.2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</row>
    <row r="857" spans="2:81" ht="13.2" x14ac:dyDescent="0.2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</row>
    <row r="858" spans="2:81" ht="13.2" x14ac:dyDescent="0.2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</row>
    <row r="859" spans="2:81" ht="13.2" x14ac:dyDescent="0.2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</row>
    <row r="860" spans="2:81" ht="13.2" x14ac:dyDescent="0.2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</row>
    <row r="861" spans="2:81" ht="13.2" x14ac:dyDescent="0.2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</row>
    <row r="862" spans="2:81" ht="13.2" x14ac:dyDescent="0.2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</row>
    <row r="863" spans="2:81" ht="13.2" x14ac:dyDescent="0.2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</row>
    <row r="864" spans="2:81" ht="13.2" x14ac:dyDescent="0.2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</row>
    <row r="865" spans="2:81" ht="13.2" x14ac:dyDescent="0.2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</row>
    <row r="866" spans="2:81" ht="13.2" x14ac:dyDescent="0.2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</row>
    <row r="867" spans="2:81" ht="13.2" x14ac:dyDescent="0.2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</row>
    <row r="868" spans="2:81" ht="13.2" x14ac:dyDescent="0.2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</row>
    <row r="869" spans="2:81" ht="13.2" x14ac:dyDescent="0.2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</row>
    <row r="870" spans="2:81" ht="13.2" x14ac:dyDescent="0.2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</row>
    <row r="871" spans="2:81" ht="13.2" x14ac:dyDescent="0.2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</row>
    <row r="872" spans="2:81" ht="13.2" x14ac:dyDescent="0.2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</row>
    <row r="873" spans="2:81" ht="13.2" x14ac:dyDescent="0.2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</row>
    <row r="874" spans="2:81" ht="13.2" x14ac:dyDescent="0.2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</row>
    <row r="875" spans="2:81" ht="13.2" x14ac:dyDescent="0.2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</row>
    <row r="876" spans="2:81" ht="13.2" x14ac:dyDescent="0.2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</row>
    <row r="877" spans="2:81" ht="13.2" x14ac:dyDescent="0.2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</row>
    <row r="878" spans="2:81" ht="13.2" x14ac:dyDescent="0.2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</row>
    <row r="879" spans="2:81" ht="13.2" x14ac:dyDescent="0.2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</row>
    <row r="880" spans="2:81" ht="13.2" x14ac:dyDescent="0.2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</row>
    <row r="881" spans="2:81" ht="13.2" x14ac:dyDescent="0.2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</row>
    <row r="882" spans="2:81" ht="13.2" x14ac:dyDescent="0.2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</row>
    <row r="883" spans="2:81" ht="13.2" x14ac:dyDescent="0.2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</row>
    <row r="884" spans="2:81" ht="13.2" x14ac:dyDescent="0.2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</row>
    <row r="885" spans="2:81" ht="13.2" x14ac:dyDescent="0.2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</row>
    <row r="886" spans="2:81" ht="13.2" x14ac:dyDescent="0.2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</row>
    <row r="887" spans="2:81" ht="13.2" x14ac:dyDescent="0.2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</row>
    <row r="888" spans="2:81" ht="13.2" x14ac:dyDescent="0.2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</row>
    <row r="889" spans="2:81" ht="13.2" x14ac:dyDescent="0.2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</row>
    <row r="890" spans="2:81" ht="13.2" x14ac:dyDescent="0.2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</row>
    <row r="891" spans="2:81" ht="13.2" x14ac:dyDescent="0.2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</row>
    <row r="892" spans="2:81" ht="13.2" x14ac:dyDescent="0.2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</row>
    <row r="893" spans="2:81" ht="13.2" x14ac:dyDescent="0.2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</row>
    <row r="894" spans="2:81" ht="13.2" x14ac:dyDescent="0.2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</row>
    <row r="895" spans="2:81" ht="13.2" x14ac:dyDescent="0.2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</row>
    <row r="896" spans="2:81" ht="13.2" x14ac:dyDescent="0.2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</row>
    <row r="897" spans="2:81" ht="13.2" x14ac:dyDescent="0.2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</row>
    <row r="898" spans="2:81" ht="13.2" x14ac:dyDescent="0.2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</row>
    <row r="899" spans="2:81" ht="13.2" x14ac:dyDescent="0.2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</row>
    <row r="900" spans="2:81" ht="13.2" x14ac:dyDescent="0.2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</row>
    <row r="901" spans="2:81" ht="13.2" x14ac:dyDescent="0.2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</row>
    <row r="902" spans="2:81" ht="13.2" x14ac:dyDescent="0.2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</row>
    <row r="903" spans="2:81" ht="13.2" x14ac:dyDescent="0.2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</row>
    <row r="904" spans="2:81" ht="13.2" x14ac:dyDescent="0.2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</row>
    <row r="905" spans="2:81" ht="13.2" x14ac:dyDescent="0.2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</row>
    <row r="906" spans="2:81" ht="13.2" x14ac:dyDescent="0.2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</row>
    <row r="907" spans="2:81" ht="13.2" x14ac:dyDescent="0.2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</row>
    <row r="908" spans="2:81" ht="13.2" x14ac:dyDescent="0.2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</row>
    <row r="909" spans="2:81" ht="13.2" x14ac:dyDescent="0.2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</row>
    <row r="910" spans="2:81" ht="13.2" x14ac:dyDescent="0.2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</row>
    <row r="911" spans="2:81" ht="13.2" x14ac:dyDescent="0.2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</row>
    <row r="912" spans="2:81" ht="13.2" x14ac:dyDescent="0.2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</row>
    <row r="913" spans="2:81" ht="13.2" x14ac:dyDescent="0.2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</row>
    <row r="914" spans="2:81" ht="13.2" x14ac:dyDescent="0.2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</row>
    <row r="915" spans="2:81" ht="13.2" x14ac:dyDescent="0.2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</row>
    <row r="916" spans="2:81" ht="13.2" x14ac:dyDescent="0.2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</row>
    <row r="917" spans="2:81" ht="13.2" x14ac:dyDescent="0.2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</row>
    <row r="918" spans="2:81" ht="13.2" x14ac:dyDescent="0.2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</row>
    <row r="919" spans="2:81" ht="13.2" x14ac:dyDescent="0.2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</row>
    <row r="920" spans="2:81" ht="13.2" x14ac:dyDescent="0.2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</row>
    <row r="921" spans="2:81" ht="13.2" x14ac:dyDescent="0.2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</row>
    <row r="922" spans="2:81" ht="13.2" x14ac:dyDescent="0.2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</row>
    <row r="923" spans="2:81" ht="13.2" x14ac:dyDescent="0.2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</row>
    <row r="924" spans="2:81" ht="13.2" x14ac:dyDescent="0.2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</row>
    <row r="925" spans="2:81" ht="13.2" x14ac:dyDescent="0.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</row>
    <row r="926" spans="2:81" ht="13.2" x14ac:dyDescent="0.2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</row>
    <row r="927" spans="2:81" ht="13.2" x14ac:dyDescent="0.2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</row>
    <row r="928" spans="2:81" ht="13.2" x14ac:dyDescent="0.2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</row>
    <row r="929" spans="2:81" ht="13.2" x14ac:dyDescent="0.2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</row>
    <row r="930" spans="2:81" ht="13.2" x14ac:dyDescent="0.2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</row>
    <row r="931" spans="2:81" ht="13.2" x14ac:dyDescent="0.2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</row>
    <row r="932" spans="2:81" ht="13.2" x14ac:dyDescent="0.2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</row>
    <row r="933" spans="2:81" ht="13.2" x14ac:dyDescent="0.2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</row>
    <row r="934" spans="2:81" ht="13.2" x14ac:dyDescent="0.2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</row>
    <row r="935" spans="2:81" ht="13.2" x14ac:dyDescent="0.2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</row>
    <row r="936" spans="2:81" ht="13.2" x14ac:dyDescent="0.2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</row>
    <row r="937" spans="2:81" ht="13.2" x14ac:dyDescent="0.2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</row>
    <row r="938" spans="2:81" ht="13.2" x14ac:dyDescent="0.2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</row>
    <row r="939" spans="2:81" ht="13.2" x14ac:dyDescent="0.2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</row>
    <row r="940" spans="2:81" ht="13.2" x14ac:dyDescent="0.2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</row>
    <row r="941" spans="2:81" ht="13.2" x14ac:dyDescent="0.2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</row>
    <row r="942" spans="2:81" ht="13.2" x14ac:dyDescent="0.2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</row>
    <row r="943" spans="2:81" ht="13.2" x14ac:dyDescent="0.2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</row>
    <row r="944" spans="2:81" ht="13.2" x14ac:dyDescent="0.2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</row>
    <row r="945" spans="2:81" ht="13.2" x14ac:dyDescent="0.2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</row>
    <row r="946" spans="2:81" ht="13.2" x14ac:dyDescent="0.2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</row>
    <row r="947" spans="2:81" ht="13.2" x14ac:dyDescent="0.2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</row>
    <row r="948" spans="2:81" ht="13.2" x14ac:dyDescent="0.2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</row>
    <row r="949" spans="2:81" ht="13.2" x14ac:dyDescent="0.2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</row>
    <row r="950" spans="2:81" ht="13.2" x14ac:dyDescent="0.2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</row>
    <row r="951" spans="2:81" ht="13.2" x14ac:dyDescent="0.2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</row>
    <row r="952" spans="2:81" ht="13.2" x14ac:dyDescent="0.2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</row>
    <row r="953" spans="2:81" ht="13.2" x14ac:dyDescent="0.2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</row>
    <row r="954" spans="2:81" ht="13.2" x14ac:dyDescent="0.2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</row>
    <row r="955" spans="2:81" ht="13.2" x14ac:dyDescent="0.2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</row>
    <row r="956" spans="2:81" ht="13.2" x14ac:dyDescent="0.2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</row>
    <row r="957" spans="2:81" ht="13.2" x14ac:dyDescent="0.2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</row>
    <row r="958" spans="2:81" ht="13.2" x14ac:dyDescent="0.2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</row>
    <row r="959" spans="2:81" ht="13.2" x14ac:dyDescent="0.2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</row>
    <row r="960" spans="2:81" ht="13.2" x14ac:dyDescent="0.2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</row>
    <row r="961" spans="2:81" ht="13.2" x14ac:dyDescent="0.2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</row>
    <row r="962" spans="2:81" ht="13.2" x14ac:dyDescent="0.2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</row>
    <row r="963" spans="2:81" ht="13.2" x14ac:dyDescent="0.2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</row>
    <row r="964" spans="2:81" ht="13.2" x14ac:dyDescent="0.2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</row>
    <row r="965" spans="2:81" ht="13.2" x14ac:dyDescent="0.2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</row>
    <row r="966" spans="2:81" ht="13.2" x14ac:dyDescent="0.2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</row>
    <row r="967" spans="2:81" ht="13.2" x14ac:dyDescent="0.2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</row>
    <row r="968" spans="2:81" ht="13.2" x14ac:dyDescent="0.2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</row>
    <row r="969" spans="2:81" ht="13.2" x14ac:dyDescent="0.2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</row>
    <row r="970" spans="2:81" ht="13.2" x14ac:dyDescent="0.2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</row>
    <row r="971" spans="2:81" ht="13.2" x14ac:dyDescent="0.2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</row>
    <row r="972" spans="2:81" ht="15.75" customHeight="1" x14ac:dyDescent="0.25">
      <c r="BJ972" s="2"/>
      <c r="BK972" s="2"/>
      <c r="BL972" s="2"/>
      <c r="BM972" s="2"/>
      <c r="BN972" s="2"/>
    </row>
    <row r="973" spans="2:81" ht="15.75" customHeight="1" x14ac:dyDescent="0.25">
      <c r="BJ973" s="2"/>
      <c r="BK973" s="2"/>
      <c r="BL973" s="2"/>
      <c r="BM973" s="2"/>
      <c r="BN973" s="2"/>
    </row>
    <row r="974" spans="2:81" ht="15.75" customHeight="1" x14ac:dyDescent="0.25">
      <c r="BJ974" s="2"/>
      <c r="BK974" s="2"/>
      <c r="BL974" s="2"/>
      <c r="BM974" s="2"/>
      <c r="BN974" s="2"/>
    </row>
    <row r="975" spans="2:81" ht="15.75" customHeight="1" x14ac:dyDescent="0.25">
      <c r="BJ975" s="2"/>
      <c r="BK975" s="2"/>
      <c r="BL975" s="2"/>
      <c r="BM975" s="2"/>
      <c r="BN975" s="2"/>
    </row>
    <row r="976" spans="2:81" ht="15.75" customHeight="1" x14ac:dyDescent="0.25">
      <c r="BJ976" s="2"/>
      <c r="BK976" s="2"/>
      <c r="BL976" s="2"/>
      <c r="BM976" s="2"/>
      <c r="BN976" s="2"/>
    </row>
    <row r="977" spans="62:66" ht="15.75" customHeight="1" x14ac:dyDescent="0.25">
      <c r="BJ977" s="2"/>
      <c r="BK977" s="2"/>
      <c r="BL977" s="2"/>
      <c r="BM977" s="2"/>
      <c r="BN977" s="2"/>
    </row>
    <row r="978" spans="62:66" ht="15.75" customHeight="1" x14ac:dyDescent="0.25">
      <c r="BJ978" s="2"/>
      <c r="BK978" s="2"/>
      <c r="BL978" s="2"/>
      <c r="BM978" s="2"/>
      <c r="BN978" s="2"/>
    </row>
    <row r="979" spans="62:66" ht="15.75" customHeight="1" x14ac:dyDescent="0.25">
      <c r="BJ979" s="2"/>
      <c r="BK979" s="2"/>
      <c r="BL979" s="2"/>
      <c r="BM979" s="2"/>
      <c r="BN979" s="2"/>
    </row>
    <row r="980" spans="62:66" ht="15.75" customHeight="1" x14ac:dyDescent="0.25">
      <c r="BJ980" s="2"/>
      <c r="BK980" s="2"/>
      <c r="BL980" s="2"/>
      <c r="BM980" s="2"/>
      <c r="BN980" s="2"/>
    </row>
    <row r="981" spans="62:66" ht="15.75" customHeight="1" x14ac:dyDescent="0.25">
      <c r="BJ981" s="2"/>
      <c r="BK981" s="2"/>
      <c r="BL981" s="2"/>
      <c r="BM981" s="2"/>
      <c r="BN981" s="2"/>
    </row>
    <row r="982" spans="62:66" ht="15.75" customHeight="1" x14ac:dyDescent="0.25">
      <c r="BJ982" s="2"/>
      <c r="BK982" s="2"/>
      <c r="BL982" s="2"/>
      <c r="BM982" s="2"/>
      <c r="BN982" s="2"/>
    </row>
  </sheetData>
  <mergeCells count="58">
    <mergeCell ref="BY1:BZ1"/>
    <mergeCell ref="CB1:CC1"/>
    <mergeCell ref="BB2:BE2"/>
    <mergeCell ref="BF2:BI2"/>
    <mergeCell ref="BO2:BS2"/>
    <mergeCell ref="BT2:BX2"/>
    <mergeCell ref="BY2:CC2"/>
    <mergeCell ref="BH1:BI1"/>
    <mergeCell ref="BO1:BP1"/>
    <mergeCell ref="BR1:BS1"/>
    <mergeCell ref="BT1:BU1"/>
    <mergeCell ref="BW1:BX1"/>
    <mergeCell ref="BJ1:BK1"/>
    <mergeCell ref="BM1:BN1"/>
    <mergeCell ref="BJ2:BN2"/>
    <mergeCell ref="AX1:AY1"/>
    <mergeCell ref="AZ1:BA1"/>
    <mergeCell ref="BB1:BC1"/>
    <mergeCell ref="BD1:BE1"/>
    <mergeCell ref="BF1:BG1"/>
    <mergeCell ref="AN1:AO1"/>
    <mergeCell ref="AP1:AQ1"/>
    <mergeCell ref="AR1:AS1"/>
    <mergeCell ref="AT1:AU1"/>
    <mergeCell ref="AV1:AW1"/>
    <mergeCell ref="AD1:AE1"/>
    <mergeCell ref="AF1:AG1"/>
    <mergeCell ref="AH1:AI1"/>
    <mergeCell ref="AJ1:AK1"/>
    <mergeCell ref="AL1:AM1"/>
    <mergeCell ref="T1:U1"/>
    <mergeCell ref="V1:W1"/>
    <mergeCell ref="X1:Y1"/>
    <mergeCell ref="Z1:AA1"/>
    <mergeCell ref="AB1:AC1"/>
    <mergeCell ref="A1:A3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AX2:BA2"/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conditionalFormatting sqref="K13:K18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R984"/>
  <sheetViews>
    <sheetView showGridLines="0" zoomScale="115" zoomScaleNormal="115" workbookViewId="0">
      <selection activeCell="I18" sqref="I18"/>
    </sheetView>
  </sheetViews>
  <sheetFormatPr baseColWidth="10" defaultColWidth="12.6640625" defaultRowHeight="15.75" customHeight="1" x14ac:dyDescent="0.25"/>
  <cols>
    <col min="1" max="1" width="43.109375" bestFit="1" customWidth="1"/>
    <col min="2" max="6" width="5.33203125" customWidth="1"/>
    <col min="7" max="7" width="6.33203125" customWidth="1"/>
    <col min="8" max="8" width="7.109375" customWidth="1"/>
    <col min="9" max="9" width="6.5546875" customWidth="1"/>
    <col min="10" max="10" width="6.33203125" customWidth="1"/>
    <col min="11" max="11" width="7.77734375" bestFit="1" customWidth="1"/>
    <col min="12" max="12" width="5.88671875" customWidth="1"/>
    <col min="13" max="15" width="5.6640625" bestFit="1" customWidth="1"/>
    <col min="16" max="16" width="5.6640625" style="21" bestFit="1" customWidth="1"/>
    <col min="17" max="17" width="5.33203125" customWidth="1"/>
    <col min="18" max="19" width="7.21875" customWidth="1"/>
    <col min="20" max="56" width="5.33203125" customWidth="1"/>
    <col min="57" max="61" width="5.6640625" customWidth="1"/>
    <col min="62" max="68" width="5.6640625" bestFit="1" customWidth="1"/>
    <col min="69" max="69" width="5.33203125" customWidth="1"/>
    <col min="70" max="77" width="5.6640625" bestFit="1" customWidth="1"/>
    <col min="78" max="81" width="5.33203125" customWidth="1"/>
    <col min="82" max="82" width="5.6640625" bestFit="1" customWidth="1"/>
    <col min="83" max="96" width="5.33203125" customWidth="1"/>
  </cols>
  <sheetData>
    <row r="1" spans="1:96" ht="15.75" customHeight="1" thickBot="1" x14ac:dyDescent="0.3">
      <c r="A1" s="295" t="s">
        <v>0</v>
      </c>
      <c r="B1" s="280">
        <v>45908</v>
      </c>
      <c r="C1" s="281"/>
      <c r="D1" s="74"/>
      <c r="E1" s="291">
        <f>B1+6</f>
        <v>45914</v>
      </c>
      <c r="F1" s="292"/>
      <c r="G1" s="280">
        <f>B1+7</f>
        <v>45915</v>
      </c>
      <c r="H1" s="281"/>
      <c r="I1" s="74"/>
      <c r="J1" s="291">
        <f>E1+7</f>
        <v>45921</v>
      </c>
      <c r="K1" s="292"/>
      <c r="L1" s="280">
        <f>G1+7</f>
        <v>45922</v>
      </c>
      <c r="M1" s="281"/>
      <c r="N1" s="74"/>
      <c r="O1" s="291">
        <f>J1+7</f>
        <v>45928</v>
      </c>
      <c r="P1" s="292"/>
      <c r="Q1" s="280">
        <f>L1+7</f>
        <v>45929</v>
      </c>
      <c r="R1" s="281"/>
      <c r="S1" s="74"/>
      <c r="T1" s="291">
        <f>O1+7</f>
        <v>45935</v>
      </c>
      <c r="U1" s="292"/>
      <c r="V1" s="280">
        <f>Q1+7</f>
        <v>45936</v>
      </c>
      <c r="W1" s="281"/>
      <c r="X1" s="74"/>
      <c r="Y1" s="291">
        <f>T1+7</f>
        <v>45942</v>
      </c>
      <c r="Z1" s="292"/>
      <c r="AA1" s="280">
        <f>V1+7</f>
        <v>45943</v>
      </c>
      <c r="AB1" s="281"/>
      <c r="AC1" s="74"/>
      <c r="AD1" s="291">
        <f>Y1+7</f>
        <v>45949</v>
      </c>
      <c r="AE1" s="292"/>
      <c r="AF1" s="280">
        <f>AA1+7</f>
        <v>45950</v>
      </c>
      <c r="AG1" s="281"/>
      <c r="AH1" s="74"/>
      <c r="AI1" s="291">
        <f>AD1+7</f>
        <v>45956</v>
      </c>
      <c r="AJ1" s="292"/>
      <c r="AK1" s="280">
        <f>AF1+7</f>
        <v>45957</v>
      </c>
      <c r="AL1" s="281"/>
      <c r="AM1" s="74"/>
      <c r="AN1" s="291">
        <f>AI1+7</f>
        <v>45963</v>
      </c>
      <c r="AO1" s="292"/>
      <c r="AP1" s="280">
        <f>AK1+7</f>
        <v>45964</v>
      </c>
      <c r="AQ1" s="281"/>
      <c r="AR1" s="74"/>
      <c r="AS1" s="291">
        <f>AN1+7</f>
        <v>45970</v>
      </c>
      <c r="AT1" s="292"/>
      <c r="AU1" s="280">
        <f>AP1+7</f>
        <v>45971</v>
      </c>
      <c r="AV1" s="281"/>
      <c r="AW1" s="74"/>
      <c r="AX1" s="291">
        <f>AS1+7</f>
        <v>45977</v>
      </c>
      <c r="AY1" s="292"/>
      <c r="AZ1" s="280">
        <f>AU1+7</f>
        <v>45978</v>
      </c>
      <c r="BA1" s="281"/>
      <c r="BB1" s="74"/>
      <c r="BC1" s="291">
        <f>AX1+7</f>
        <v>45984</v>
      </c>
      <c r="BD1" s="292"/>
      <c r="BE1" s="280">
        <f>AZ1+7</f>
        <v>45985</v>
      </c>
      <c r="BF1" s="281"/>
      <c r="BG1" s="74"/>
      <c r="BH1" s="293">
        <f>BC1+7</f>
        <v>45991</v>
      </c>
      <c r="BI1" s="294"/>
      <c r="BJ1" s="280">
        <f>BE1+7</f>
        <v>45992</v>
      </c>
      <c r="BK1" s="281"/>
      <c r="BL1" s="74"/>
      <c r="BM1" s="291">
        <f>BH1+7</f>
        <v>45998</v>
      </c>
      <c r="BN1" s="292"/>
      <c r="BO1" s="280">
        <f>BJ1+7</f>
        <v>45999</v>
      </c>
      <c r="BP1" s="281"/>
      <c r="BQ1" s="74"/>
      <c r="BR1" s="291">
        <f>BM1+7</f>
        <v>46005</v>
      </c>
      <c r="BS1" s="292"/>
      <c r="BT1" s="280">
        <v>46034</v>
      </c>
      <c r="BU1" s="281"/>
      <c r="BV1" s="74"/>
      <c r="BW1" s="291">
        <f>BT1+6</f>
        <v>46040</v>
      </c>
      <c r="BX1" s="292"/>
      <c r="BY1" s="280">
        <f>BT1+7</f>
        <v>46041</v>
      </c>
      <c r="BZ1" s="281"/>
      <c r="CA1" s="74"/>
      <c r="CB1" s="276">
        <f>BW1+7</f>
        <v>46047</v>
      </c>
      <c r="CC1" s="285"/>
      <c r="CD1" s="280">
        <f>BY1+7</f>
        <v>46048</v>
      </c>
      <c r="CE1" s="281"/>
      <c r="CF1" s="74"/>
      <c r="CG1" s="276">
        <f>CB1+7</f>
        <v>46054</v>
      </c>
      <c r="CH1" s="285"/>
      <c r="CI1" s="280">
        <f>CD1+7</f>
        <v>46055</v>
      </c>
      <c r="CJ1" s="281"/>
      <c r="CK1" s="74"/>
      <c r="CL1" s="276">
        <f>CG1+7</f>
        <v>46061</v>
      </c>
      <c r="CM1" s="277"/>
      <c r="CN1" s="280">
        <f>CI1+7</f>
        <v>46062</v>
      </c>
      <c r="CO1" s="281"/>
      <c r="CP1" s="74"/>
      <c r="CQ1" s="276">
        <f>CL1+7</f>
        <v>46068</v>
      </c>
      <c r="CR1" s="277"/>
    </row>
    <row r="2" spans="1:96" ht="15.75" customHeight="1" thickBot="1" x14ac:dyDescent="0.3">
      <c r="A2" s="283"/>
      <c r="B2" s="273" t="s">
        <v>1</v>
      </c>
      <c r="C2" s="274"/>
      <c r="D2" s="274"/>
      <c r="E2" s="274"/>
      <c r="F2" s="275"/>
      <c r="G2" s="273" t="s">
        <v>2</v>
      </c>
      <c r="H2" s="274"/>
      <c r="I2" s="274"/>
      <c r="J2" s="274"/>
      <c r="K2" s="275"/>
      <c r="L2" s="273" t="s">
        <v>3</v>
      </c>
      <c r="M2" s="274"/>
      <c r="N2" s="274"/>
      <c r="O2" s="274"/>
      <c r="P2" s="275"/>
      <c r="Q2" s="278" t="s">
        <v>4</v>
      </c>
      <c r="R2" s="274"/>
      <c r="S2" s="274"/>
      <c r="T2" s="274"/>
      <c r="U2" s="275"/>
      <c r="V2" s="273" t="s">
        <v>5</v>
      </c>
      <c r="W2" s="274"/>
      <c r="X2" s="274"/>
      <c r="Y2" s="274"/>
      <c r="Z2" s="275"/>
      <c r="AA2" s="278" t="s">
        <v>6</v>
      </c>
      <c r="AB2" s="274"/>
      <c r="AC2" s="274"/>
      <c r="AD2" s="274"/>
      <c r="AE2" s="275"/>
      <c r="AF2" s="273" t="s">
        <v>7</v>
      </c>
      <c r="AG2" s="274"/>
      <c r="AH2" s="274"/>
      <c r="AI2" s="274"/>
      <c r="AJ2" s="275"/>
      <c r="AK2" s="278" t="s">
        <v>8</v>
      </c>
      <c r="AL2" s="274"/>
      <c r="AM2" s="274"/>
      <c r="AN2" s="274"/>
      <c r="AO2" s="275"/>
      <c r="AP2" s="273" t="s">
        <v>9</v>
      </c>
      <c r="AQ2" s="274"/>
      <c r="AR2" s="274"/>
      <c r="AS2" s="274"/>
      <c r="AT2" s="275"/>
      <c r="AU2" s="273" t="s">
        <v>10</v>
      </c>
      <c r="AV2" s="274"/>
      <c r="AW2" s="274"/>
      <c r="AX2" s="274"/>
      <c r="AY2" s="275"/>
      <c r="AZ2" s="273" t="s">
        <v>11</v>
      </c>
      <c r="BA2" s="274"/>
      <c r="BB2" s="274"/>
      <c r="BC2" s="274"/>
      <c r="BD2" s="275"/>
      <c r="BE2" s="296" t="s">
        <v>43</v>
      </c>
      <c r="BF2" s="297"/>
      <c r="BG2" s="297"/>
      <c r="BH2" s="297"/>
      <c r="BI2" s="298"/>
      <c r="BJ2" s="273" t="s">
        <v>44</v>
      </c>
      <c r="BK2" s="274"/>
      <c r="BL2" s="274"/>
      <c r="BM2" s="274"/>
      <c r="BN2" s="275"/>
      <c r="BO2" s="273" t="s">
        <v>45</v>
      </c>
      <c r="BP2" s="274"/>
      <c r="BQ2" s="274"/>
      <c r="BR2" s="274"/>
      <c r="BS2" s="275"/>
      <c r="BT2" s="273" t="s">
        <v>46</v>
      </c>
      <c r="BU2" s="274"/>
      <c r="BV2" s="274"/>
      <c r="BW2" s="274"/>
      <c r="BX2" s="275"/>
      <c r="BY2" s="273" t="s">
        <v>67</v>
      </c>
      <c r="BZ2" s="274"/>
      <c r="CA2" s="274"/>
      <c r="CB2" s="274"/>
      <c r="CC2" s="275"/>
      <c r="CD2" s="273" t="s">
        <v>73</v>
      </c>
      <c r="CE2" s="274"/>
      <c r="CF2" s="274"/>
      <c r="CG2" s="274"/>
      <c r="CH2" s="275"/>
      <c r="CI2" s="273" t="s">
        <v>72</v>
      </c>
      <c r="CJ2" s="274"/>
      <c r="CK2" s="274"/>
      <c r="CL2" s="274"/>
      <c r="CM2" s="275"/>
      <c r="CN2" s="278" t="s">
        <v>71</v>
      </c>
      <c r="CO2" s="274"/>
      <c r="CP2" s="274"/>
      <c r="CQ2" s="274"/>
      <c r="CR2" s="275"/>
    </row>
    <row r="3" spans="1:96" ht="15.75" customHeight="1" thickBot="1" x14ac:dyDescent="0.3">
      <c r="A3" s="283"/>
      <c r="B3" s="173">
        <v>1</v>
      </c>
      <c r="C3" s="158">
        <v>2</v>
      </c>
      <c r="D3" s="158">
        <v>3</v>
      </c>
      <c r="E3" s="158">
        <v>4</v>
      </c>
      <c r="F3" s="184">
        <v>5</v>
      </c>
      <c r="G3" s="173">
        <v>1</v>
      </c>
      <c r="H3" s="158">
        <v>2</v>
      </c>
      <c r="I3" s="158">
        <v>3</v>
      </c>
      <c r="J3" s="158">
        <v>4</v>
      </c>
      <c r="K3" s="184">
        <v>5</v>
      </c>
      <c r="L3" s="185">
        <v>1</v>
      </c>
      <c r="M3" s="186">
        <v>2</v>
      </c>
      <c r="N3" s="186">
        <v>3</v>
      </c>
      <c r="O3" s="186">
        <v>4</v>
      </c>
      <c r="P3" s="187">
        <v>5</v>
      </c>
      <c r="Q3" s="200">
        <v>1</v>
      </c>
      <c r="R3" s="145">
        <v>2</v>
      </c>
      <c r="S3" s="145">
        <v>3</v>
      </c>
      <c r="T3" s="145">
        <v>4</v>
      </c>
      <c r="U3" s="210">
        <v>5</v>
      </c>
      <c r="V3" s="144">
        <v>1</v>
      </c>
      <c r="W3" s="145">
        <v>2</v>
      </c>
      <c r="X3" s="145">
        <v>3</v>
      </c>
      <c r="Y3" s="145">
        <v>4</v>
      </c>
      <c r="Z3" s="146">
        <v>5</v>
      </c>
      <c r="AA3" s="218">
        <v>1</v>
      </c>
      <c r="AB3" s="186">
        <v>2</v>
      </c>
      <c r="AC3" s="186">
        <v>3</v>
      </c>
      <c r="AD3" s="186">
        <v>4</v>
      </c>
      <c r="AE3" s="187">
        <v>5</v>
      </c>
      <c r="AF3" s="173">
        <v>1</v>
      </c>
      <c r="AG3" s="158">
        <v>2</v>
      </c>
      <c r="AH3" s="158">
        <v>3</v>
      </c>
      <c r="AI3" s="158">
        <v>4</v>
      </c>
      <c r="AJ3" s="184">
        <v>5</v>
      </c>
      <c r="AK3" s="185">
        <v>1</v>
      </c>
      <c r="AL3" s="186">
        <v>2</v>
      </c>
      <c r="AM3" s="186">
        <v>3</v>
      </c>
      <c r="AN3" s="186">
        <v>4</v>
      </c>
      <c r="AO3" s="187">
        <v>5</v>
      </c>
      <c r="AP3" s="144">
        <v>1</v>
      </c>
      <c r="AQ3" s="145">
        <v>2</v>
      </c>
      <c r="AR3" s="145">
        <v>3</v>
      </c>
      <c r="AS3" s="145">
        <v>4</v>
      </c>
      <c r="AT3" s="146">
        <v>5</v>
      </c>
      <c r="AU3" s="173">
        <v>1</v>
      </c>
      <c r="AV3" s="158">
        <v>2</v>
      </c>
      <c r="AW3" s="158">
        <v>3</v>
      </c>
      <c r="AX3" s="158">
        <v>4</v>
      </c>
      <c r="AY3" s="184">
        <v>5</v>
      </c>
      <c r="AZ3" s="185">
        <v>1</v>
      </c>
      <c r="BA3" s="186">
        <v>2</v>
      </c>
      <c r="BB3" s="186">
        <v>3</v>
      </c>
      <c r="BC3" s="186">
        <v>4</v>
      </c>
      <c r="BD3" s="187">
        <v>5</v>
      </c>
      <c r="BE3" s="239">
        <v>1</v>
      </c>
      <c r="BF3" s="240">
        <v>2</v>
      </c>
      <c r="BG3" s="240">
        <v>3</v>
      </c>
      <c r="BH3" s="240">
        <v>4</v>
      </c>
      <c r="BI3" s="241">
        <v>5</v>
      </c>
      <c r="BJ3" s="173">
        <v>1</v>
      </c>
      <c r="BK3" s="158">
        <v>2</v>
      </c>
      <c r="BL3" s="158">
        <v>3</v>
      </c>
      <c r="BM3" s="158">
        <v>4</v>
      </c>
      <c r="BN3" s="184">
        <v>5</v>
      </c>
      <c r="BO3" s="173">
        <v>1</v>
      </c>
      <c r="BP3" s="158">
        <v>2</v>
      </c>
      <c r="BQ3" s="158">
        <v>3</v>
      </c>
      <c r="BR3" s="158">
        <v>4</v>
      </c>
      <c r="BS3" s="184">
        <v>5</v>
      </c>
      <c r="BT3" s="173">
        <v>1</v>
      </c>
      <c r="BU3" s="158">
        <v>2</v>
      </c>
      <c r="BV3" s="158">
        <v>3</v>
      </c>
      <c r="BW3" s="158">
        <v>4</v>
      </c>
      <c r="BX3" s="184">
        <v>5</v>
      </c>
      <c r="BY3" s="63">
        <v>1</v>
      </c>
      <c r="BZ3" s="64">
        <v>2</v>
      </c>
      <c r="CA3" s="64">
        <v>3</v>
      </c>
      <c r="CB3" s="64">
        <v>4</v>
      </c>
      <c r="CC3" s="65">
        <v>5</v>
      </c>
      <c r="CD3" s="63">
        <v>1</v>
      </c>
      <c r="CE3" s="64">
        <v>2</v>
      </c>
      <c r="CF3" s="64">
        <v>3</v>
      </c>
      <c r="CG3" s="64">
        <v>4</v>
      </c>
      <c r="CH3" s="65">
        <v>5</v>
      </c>
      <c r="CI3" s="63">
        <v>1</v>
      </c>
      <c r="CJ3" s="64">
        <v>2</v>
      </c>
      <c r="CK3" s="64">
        <v>3</v>
      </c>
      <c r="CL3" s="64">
        <v>4</v>
      </c>
      <c r="CM3" s="65">
        <v>5</v>
      </c>
      <c r="CN3" s="153">
        <v>1</v>
      </c>
      <c r="CO3" s="64">
        <v>2</v>
      </c>
      <c r="CP3" s="64">
        <v>3</v>
      </c>
      <c r="CQ3" s="64">
        <v>4</v>
      </c>
      <c r="CR3" s="65">
        <v>5</v>
      </c>
    </row>
    <row r="4" spans="1:96" s="9" customFormat="1" ht="15.75" customHeight="1" x14ac:dyDescent="0.25">
      <c r="A4" s="182" t="s">
        <v>36</v>
      </c>
      <c r="B4" s="198"/>
      <c r="C4" s="194"/>
      <c r="D4" s="194"/>
      <c r="E4" s="194"/>
      <c r="F4" s="199"/>
      <c r="G4" s="198"/>
      <c r="H4" s="194"/>
      <c r="I4" s="194"/>
      <c r="J4" s="194"/>
      <c r="K4" s="199"/>
      <c r="L4" s="198"/>
      <c r="M4" s="194"/>
      <c r="N4" s="194"/>
      <c r="O4" s="194"/>
      <c r="P4" s="199"/>
      <c r="Q4" s="207"/>
      <c r="R4" s="43"/>
      <c r="S4" s="183" t="s">
        <v>12</v>
      </c>
      <c r="T4" s="143" t="s">
        <v>13</v>
      </c>
      <c r="U4" s="211" t="s">
        <v>13</v>
      </c>
      <c r="V4" s="216"/>
      <c r="W4" s="169"/>
      <c r="X4" s="168" t="s">
        <v>12</v>
      </c>
      <c r="Y4" s="143" t="s">
        <v>14</v>
      </c>
      <c r="Z4" s="211" t="s">
        <v>13</v>
      </c>
      <c r="AA4" s="220"/>
      <c r="AB4" s="205"/>
      <c r="AC4" s="221" t="s">
        <v>13</v>
      </c>
      <c r="AD4" s="222" t="s">
        <v>12</v>
      </c>
      <c r="AE4" s="223" t="s">
        <v>13</v>
      </c>
      <c r="AF4" s="220"/>
      <c r="AG4" s="224"/>
      <c r="AH4" s="221" t="s">
        <v>49</v>
      </c>
      <c r="AI4" s="225" t="s">
        <v>15</v>
      </c>
      <c r="AJ4" s="226" t="s">
        <v>12</v>
      </c>
      <c r="AK4" s="228"/>
      <c r="AL4" s="224"/>
      <c r="AM4" s="229" t="s">
        <v>49</v>
      </c>
      <c r="AN4" s="206" t="s">
        <v>49</v>
      </c>
      <c r="AO4" s="230" t="s">
        <v>12</v>
      </c>
      <c r="AP4" s="220"/>
      <c r="AQ4" s="224"/>
      <c r="AR4" s="232" t="s">
        <v>18</v>
      </c>
      <c r="AS4" s="205" t="s">
        <v>49</v>
      </c>
      <c r="AT4" s="234" t="s">
        <v>49</v>
      </c>
      <c r="AU4" s="220"/>
      <c r="AV4" s="224"/>
      <c r="AW4" s="236" t="s">
        <v>12</v>
      </c>
      <c r="AX4" s="205" t="s">
        <v>49</v>
      </c>
      <c r="AY4" s="237" t="s">
        <v>49</v>
      </c>
      <c r="AZ4" s="220"/>
      <c r="BA4" s="224"/>
      <c r="BB4" s="205" t="s">
        <v>12</v>
      </c>
      <c r="BC4" s="205" t="s">
        <v>49</v>
      </c>
      <c r="BD4" s="237" t="s">
        <v>49</v>
      </c>
      <c r="BE4" s="220"/>
      <c r="BF4" s="224"/>
      <c r="BG4" s="225" t="s">
        <v>15</v>
      </c>
      <c r="BH4" s="205" t="s">
        <v>12</v>
      </c>
      <c r="BI4" s="234" t="s">
        <v>49</v>
      </c>
      <c r="BJ4" s="220"/>
      <c r="BK4" s="224"/>
      <c r="BL4" s="242" t="s">
        <v>49</v>
      </c>
      <c r="BM4" s="205" t="s">
        <v>12</v>
      </c>
      <c r="BN4" s="234" t="s">
        <v>49</v>
      </c>
      <c r="BO4" s="220"/>
      <c r="BP4" s="224"/>
      <c r="BQ4" s="205" t="s">
        <v>49</v>
      </c>
      <c r="BR4" s="205" t="s">
        <v>12</v>
      </c>
      <c r="BS4" s="234" t="s">
        <v>49</v>
      </c>
      <c r="BT4" s="220"/>
      <c r="BU4" s="224"/>
      <c r="BV4" s="222" t="s">
        <v>49</v>
      </c>
      <c r="BW4" s="205" t="s">
        <v>18</v>
      </c>
      <c r="BX4" s="233" t="s">
        <v>13</v>
      </c>
      <c r="BY4" s="154"/>
      <c r="BZ4" s="10"/>
      <c r="CA4" s="10"/>
      <c r="CB4" s="10"/>
      <c r="CC4" s="77"/>
      <c r="CD4" s="76"/>
      <c r="CE4" s="10"/>
      <c r="CF4" s="10"/>
      <c r="CG4" s="10"/>
      <c r="CH4" s="77"/>
      <c r="CI4" s="76"/>
      <c r="CJ4" s="133" t="s">
        <v>48</v>
      </c>
      <c r="CK4" s="10"/>
      <c r="CL4" s="10"/>
      <c r="CM4" s="77"/>
      <c r="CN4" s="154"/>
      <c r="CO4" s="133" t="s">
        <v>48</v>
      </c>
      <c r="CP4" s="10"/>
      <c r="CQ4" s="10"/>
      <c r="CR4" s="77"/>
    </row>
    <row r="5" spans="1:96" s="16" customFormat="1" ht="15.75" customHeight="1" x14ac:dyDescent="0.25">
      <c r="A5" s="195" t="s">
        <v>40</v>
      </c>
      <c r="B5" s="163"/>
      <c r="C5" s="165"/>
      <c r="D5" s="188"/>
      <c r="E5" s="189"/>
      <c r="F5" s="192"/>
      <c r="H5" s="165"/>
      <c r="I5" s="191"/>
      <c r="K5" s="192"/>
      <c r="M5" s="165"/>
      <c r="N5" s="165"/>
      <c r="O5" s="165"/>
      <c r="P5" s="193"/>
      <c r="Q5" s="208"/>
      <c r="R5" s="82"/>
      <c r="S5" s="209" t="s">
        <v>12</v>
      </c>
      <c r="T5" s="15" t="s">
        <v>13</v>
      </c>
      <c r="U5" s="212" t="s">
        <v>12</v>
      </c>
      <c r="V5" s="214"/>
      <c r="W5" s="165"/>
      <c r="X5" s="190" t="s">
        <v>13</v>
      </c>
      <c r="Y5" s="31" t="s">
        <v>12</v>
      </c>
      <c r="Z5" s="217" t="s">
        <v>13</v>
      </c>
      <c r="AA5" s="214"/>
      <c r="AB5" s="165"/>
      <c r="AC5" s="148" t="s">
        <v>12</v>
      </c>
      <c r="AD5" s="31" t="s">
        <v>13</v>
      </c>
      <c r="AE5" s="151"/>
      <c r="AF5" s="214"/>
      <c r="AG5" s="165"/>
      <c r="AH5" s="148" t="s">
        <v>12</v>
      </c>
      <c r="AI5" s="148" t="s">
        <v>13</v>
      </c>
      <c r="AJ5" s="38"/>
      <c r="AK5" s="214"/>
      <c r="AL5" s="165"/>
      <c r="AM5" s="148" t="s">
        <v>12</v>
      </c>
      <c r="AN5" s="31" t="s">
        <v>13</v>
      </c>
      <c r="AO5" s="231" t="s">
        <v>14</v>
      </c>
      <c r="AP5" s="214"/>
      <c r="AQ5" s="165"/>
      <c r="AR5" s="227" t="s">
        <v>18</v>
      </c>
      <c r="AS5" s="31" t="s">
        <v>12</v>
      </c>
      <c r="AT5" s="235" t="s">
        <v>13</v>
      </c>
      <c r="AU5" s="214"/>
      <c r="AV5" s="165"/>
      <c r="AW5" s="148" t="s">
        <v>12</v>
      </c>
      <c r="AX5" s="31" t="s">
        <v>14</v>
      </c>
      <c r="AZ5" s="214"/>
      <c r="BA5" s="165"/>
      <c r="BB5" s="14" t="s">
        <v>12</v>
      </c>
      <c r="BC5" s="31" t="s">
        <v>13</v>
      </c>
      <c r="BD5" s="147" t="s">
        <v>13</v>
      </c>
      <c r="BE5" s="214"/>
      <c r="BF5" s="165"/>
      <c r="BG5" s="31" t="s">
        <v>12</v>
      </c>
      <c r="BH5" s="31" t="s">
        <v>13</v>
      </c>
      <c r="BI5" s="219"/>
      <c r="BJ5" s="214"/>
      <c r="BK5" s="165"/>
      <c r="BL5" s="31" t="s">
        <v>12</v>
      </c>
      <c r="BM5" s="31" t="s">
        <v>13</v>
      </c>
      <c r="BN5" s="243" t="s">
        <v>18</v>
      </c>
      <c r="BO5" s="214"/>
      <c r="BP5" s="165"/>
      <c r="BQ5" s="31" t="s">
        <v>12</v>
      </c>
      <c r="BR5" s="31" t="s">
        <v>13</v>
      </c>
      <c r="BS5" s="147" t="s">
        <v>13</v>
      </c>
      <c r="BT5" s="214"/>
      <c r="BU5" s="165"/>
      <c r="BV5" s="102" t="s">
        <v>16</v>
      </c>
      <c r="BW5" s="102" t="s">
        <v>16</v>
      </c>
      <c r="BX5" s="246"/>
      <c r="BY5" s="244"/>
      <c r="BZ5" s="15"/>
      <c r="CA5" s="15"/>
      <c r="CB5" s="15"/>
      <c r="CC5" s="79"/>
      <c r="CD5" s="78"/>
      <c r="CE5" s="15"/>
      <c r="CF5" s="15"/>
      <c r="CG5" s="15"/>
      <c r="CH5" s="79"/>
      <c r="CI5" s="37"/>
      <c r="CJ5" s="15"/>
      <c r="CK5" s="15"/>
      <c r="CL5" s="98" t="s">
        <v>48</v>
      </c>
      <c r="CM5" s="79"/>
      <c r="CN5" s="148"/>
      <c r="CO5" s="15"/>
      <c r="CP5" s="15"/>
      <c r="CQ5" s="98" t="s">
        <v>48</v>
      </c>
      <c r="CR5" s="79"/>
    </row>
    <row r="6" spans="1:96" s="9" customFormat="1" ht="15.75" customHeight="1" x14ac:dyDescent="0.25">
      <c r="A6" s="172" t="s">
        <v>66</v>
      </c>
      <c r="B6" s="116"/>
      <c r="C6" s="82"/>
      <c r="D6" s="82"/>
      <c r="E6" s="82"/>
      <c r="F6" s="117"/>
      <c r="G6" s="116"/>
      <c r="H6" s="161"/>
      <c r="I6" s="161"/>
      <c r="J6" s="82"/>
      <c r="K6" s="117"/>
      <c r="L6" s="33"/>
      <c r="M6" s="82"/>
      <c r="N6" s="82"/>
      <c r="O6" s="82"/>
      <c r="P6" s="121"/>
      <c r="Q6" s="156"/>
      <c r="R6" s="14"/>
      <c r="S6" s="14"/>
      <c r="T6" s="82"/>
      <c r="U6" s="152"/>
      <c r="V6" s="33"/>
      <c r="W6" s="14"/>
      <c r="X6" s="14"/>
      <c r="Y6" s="82"/>
      <c r="Z6" s="152"/>
      <c r="AA6" s="33"/>
      <c r="AB6" s="82"/>
      <c r="AC6" s="82"/>
      <c r="AD6" s="82"/>
      <c r="AE6" s="152"/>
      <c r="AF6" s="33"/>
      <c r="AG6" s="14"/>
      <c r="AH6" s="14"/>
      <c r="AI6" s="82"/>
      <c r="AJ6" s="117"/>
      <c r="AK6" s="33"/>
      <c r="AL6" s="82"/>
      <c r="AM6" s="82"/>
      <c r="AN6" s="82"/>
      <c r="AO6" s="152"/>
      <c r="AP6" s="33"/>
      <c r="AQ6" s="14"/>
      <c r="AR6" s="14"/>
      <c r="AS6" s="82"/>
      <c r="AT6" s="152"/>
      <c r="AU6" s="33"/>
      <c r="AV6" s="82"/>
      <c r="AW6" s="82"/>
      <c r="AX6" s="82"/>
      <c r="AY6" s="152"/>
      <c r="AZ6" s="33"/>
      <c r="BA6" s="82"/>
      <c r="BB6" s="82"/>
      <c r="BC6" s="82"/>
      <c r="BD6" s="152"/>
      <c r="BE6" s="33"/>
      <c r="BF6" s="82"/>
      <c r="BG6" s="82"/>
      <c r="BH6" s="82"/>
      <c r="BI6" s="152"/>
      <c r="BJ6" s="33"/>
      <c r="BK6" s="82"/>
      <c r="BL6" s="82"/>
      <c r="BM6" s="82"/>
      <c r="BN6" s="152"/>
      <c r="BO6" s="33"/>
      <c r="BP6" s="82"/>
      <c r="BQ6" s="82"/>
      <c r="BR6" s="82"/>
      <c r="BS6" s="152"/>
      <c r="BT6" s="33"/>
      <c r="BU6" s="82"/>
      <c r="BV6" s="82"/>
      <c r="BW6" s="82"/>
      <c r="BX6" s="117"/>
      <c r="BY6" s="155"/>
      <c r="BZ6" s="82"/>
      <c r="CA6" s="82"/>
      <c r="CB6" s="82"/>
      <c r="CC6" s="117"/>
      <c r="CD6" s="116"/>
      <c r="CE6" s="82"/>
      <c r="CF6" s="82"/>
      <c r="CG6" s="82"/>
      <c r="CH6" s="117"/>
      <c r="CI6" s="85" t="s">
        <v>48</v>
      </c>
      <c r="CJ6" s="82"/>
      <c r="CK6" s="82"/>
      <c r="CL6" s="82"/>
      <c r="CM6" s="117"/>
      <c r="CN6" s="97" t="s">
        <v>48</v>
      </c>
      <c r="CO6" s="82"/>
      <c r="CP6" s="82"/>
      <c r="CQ6" s="82"/>
      <c r="CR6" s="117"/>
    </row>
    <row r="7" spans="1:96" s="9" customFormat="1" ht="15.75" customHeight="1" x14ac:dyDescent="0.25">
      <c r="A7" s="172" t="s">
        <v>70</v>
      </c>
      <c r="B7" s="116"/>
      <c r="C7" s="82"/>
      <c r="D7" s="82"/>
      <c r="E7" s="82"/>
      <c r="F7" s="117"/>
      <c r="G7" s="116"/>
      <c r="H7" s="161"/>
      <c r="I7" s="161"/>
      <c r="J7" s="82"/>
      <c r="K7" s="117"/>
      <c r="L7" s="33"/>
      <c r="M7" s="82"/>
      <c r="N7" s="82"/>
      <c r="O7" s="82"/>
      <c r="P7" s="121"/>
      <c r="Q7" s="156"/>
      <c r="R7" s="14"/>
      <c r="S7" s="14"/>
      <c r="T7" s="82"/>
      <c r="U7" s="152"/>
      <c r="V7" s="33"/>
      <c r="W7" s="14"/>
      <c r="X7" s="14"/>
      <c r="Y7" s="82"/>
      <c r="Z7" s="152"/>
      <c r="AA7" s="33"/>
      <c r="AB7" s="82"/>
      <c r="AC7" s="82"/>
      <c r="AD7" s="82"/>
      <c r="AE7" s="152"/>
      <c r="AF7" s="33"/>
      <c r="AG7" s="14"/>
      <c r="AH7" s="14"/>
      <c r="AI7" s="82"/>
      <c r="AJ7" s="117"/>
      <c r="AK7" s="33"/>
      <c r="AL7" s="82"/>
      <c r="AM7" s="82"/>
      <c r="AN7" s="82"/>
      <c r="AO7" s="152"/>
      <c r="AP7" s="33"/>
      <c r="AQ7" s="14"/>
      <c r="AR7" s="14"/>
      <c r="AS7" s="82"/>
      <c r="AT7" s="152"/>
      <c r="AU7" s="33"/>
      <c r="AV7" s="82"/>
      <c r="AW7" s="82"/>
      <c r="AX7" s="82"/>
      <c r="AY7" s="152"/>
      <c r="AZ7" s="33"/>
      <c r="BA7" s="82"/>
      <c r="BB7" s="82"/>
      <c r="BC7" s="82"/>
      <c r="BD7" s="152"/>
      <c r="BE7" s="33"/>
      <c r="BF7" s="82"/>
      <c r="BG7" s="82"/>
      <c r="BH7" s="82"/>
      <c r="BI7" s="152"/>
      <c r="BJ7" s="33"/>
      <c r="BK7" s="82"/>
      <c r="BL7" s="82"/>
      <c r="BM7" s="82"/>
      <c r="BN7" s="152"/>
      <c r="BO7" s="33"/>
      <c r="BP7" s="82"/>
      <c r="BQ7" s="82"/>
      <c r="BR7" s="82"/>
      <c r="BS7" s="152"/>
      <c r="BT7" s="33"/>
      <c r="BU7" s="82"/>
      <c r="BV7" s="82"/>
      <c r="BW7" s="82"/>
      <c r="BX7" s="117"/>
      <c r="BY7" s="155"/>
      <c r="BZ7" s="82"/>
      <c r="CA7" s="82"/>
      <c r="CB7" s="82"/>
      <c r="CC7" s="117"/>
      <c r="CD7" s="116"/>
      <c r="CE7" s="82"/>
      <c r="CF7" s="82"/>
      <c r="CG7" s="82"/>
      <c r="CH7" s="117"/>
      <c r="CI7" s="85"/>
      <c r="CJ7" s="82"/>
      <c r="CK7" s="82"/>
      <c r="CL7" s="82"/>
      <c r="CM7" s="117"/>
      <c r="CN7" s="97"/>
      <c r="CO7" s="82"/>
      <c r="CP7" s="82"/>
      <c r="CQ7" s="82"/>
      <c r="CR7" s="117"/>
    </row>
    <row r="8" spans="1:96" s="16" customFormat="1" ht="15.75" customHeight="1" x14ac:dyDescent="0.25">
      <c r="A8" s="196" t="s">
        <v>51</v>
      </c>
      <c r="B8" s="163"/>
      <c r="C8" s="162" t="s">
        <v>52</v>
      </c>
      <c r="D8" s="164" t="s">
        <v>52</v>
      </c>
      <c r="E8" s="162" t="s">
        <v>52</v>
      </c>
      <c r="F8" s="170" t="s">
        <v>52</v>
      </c>
      <c r="G8" s="159" t="s">
        <v>52</v>
      </c>
      <c r="H8" s="159" t="s">
        <v>52</v>
      </c>
      <c r="I8" s="159" t="s">
        <v>52</v>
      </c>
      <c r="J8" s="162" t="s">
        <v>52</v>
      </c>
      <c r="K8" s="164" t="s">
        <v>52</v>
      </c>
      <c r="L8" s="159" t="s">
        <v>52</v>
      </c>
      <c r="M8" s="159" t="s">
        <v>52</v>
      </c>
      <c r="N8" s="159" t="s">
        <v>52</v>
      </c>
      <c r="O8" s="162" t="s">
        <v>52</v>
      </c>
      <c r="P8" s="164" t="s">
        <v>52</v>
      </c>
      <c r="Q8" s="162" t="s">
        <v>52</v>
      </c>
      <c r="R8" s="159" t="s">
        <v>52</v>
      </c>
      <c r="S8" s="165"/>
      <c r="T8" s="165"/>
      <c r="V8" s="80" t="s">
        <v>52</v>
      </c>
      <c r="W8" s="213" t="s">
        <v>52</v>
      </c>
      <c r="X8" s="14"/>
      <c r="Y8" s="165"/>
      <c r="Z8" s="219"/>
      <c r="AA8" s="80" t="s">
        <v>52</v>
      </c>
      <c r="AB8" s="159" t="s">
        <v>52</v>
      </c>
      <c r="AC8" s="156"/>
      <c r="AD8" s="165"/>
      <c r="AF8" s="80" t="s">
        <v>52</v>
      </c>
      <c r="AG8" s="164" t="s">
        <v>52</v>
      </c>
      <c r="AH8" s="156"/>
      <c r="AI8" s="165"/>
      <c r="AJ8" s="166"/>
      <c r="AK8" s="204" t="s">
        <v>52</v>
      </c>
      <c r="AL8" s="162" t="s">
        <v>52</v>
      </c>
      <c r="AM8" s="156"/>
      <c r="AN8" s="165"/>
      <c r="AP8" s="80" t="s">
        <v>52</v>
      </c>
      <c r="AQ8" s="80" t="s">
        <v>52</v>
      </c>
      <c r="AR8" s="14"/>
      <c r="AS8" s="165"/>
      <c r="AU8" s="80" t="s">
        <v>52</v>
      </c>
      <c r="AV8" s="204" t="s">
        <v>52</v>
      </c>
      <c r="AW8" s="14"/>
      <c r="AX8" s="165"/>
      <c r="AY8" s="219"/>
      <c r="AZ8" s="80" t="s">
        <v>52</v>
      </c>
      <c r="BA8" s="162" t="s">
        <v>52</v>
      </c>
      <c r="BB8" s="14"/>
      <c r="BC8" s="165"/>
      <c r="BD8" s="219"/>
      <c r="BE8" s="80" t="s">
        <v>52</v>
      </c>
      <c r="BF8" s="14"/>
      <c r="BG8" s="119"/>
      <c r="BH8" s="165"/>
      <c r="BI8" s="219"/>
      <c r="BJ8" s="80" t="s">
        <v>52</v>
      </c>
      <c r="BK8" s="162" t="s">
        <v>52</v>
      </c>
      <c r="BL8" s="14"/>
      <c r="BM8" s="165"/>
      <c r="BN8" s="219"/>
      <c r="BO8" s="80" t="s">
        <v>52</v>
      </c>
      <c r="BP8" s="14"/>
      <c r="BQ8" s="165"/>
      <c r="BR8" s="165"/>
      <c r="BS8" s="219"/>
      <c r="BT8" s="80" t="s">
        <v>52</v>
      </c>
      <c r="BU8" s="162" t="s">
        <v>52</v>
      </c>
      <c r="BV8" s="14"/>
      <c r="BW8" s="165"/>
      <c r="BX8" s="215"/>
      <c r="BY8" s="245"/>
      <c r="BZ8" s="14"/>
      <c r="CA8" s="14"/>
      <c r="CB8" s="14"/>
      <c r="CC8" s="34"/>
      <c r="CD8" s="167"/>
      <c r="CE8" s="98" t="s">
        <v>52</v>
      </c>
      <c r="CF8" s="14"/>
      <c r="CG8" s="14"/>
      <c r="CH8" s="34"/>
      <c r="CI8" s="163"/>
      <c r="CJ8" s="31"/>
      <c r="CK8" s="31"/>
      <c r="CL8" s="31"/>
      <c r="CM8" s="166"/>
      <c r="CO8" s="31"/>
      <c r="CP8" s="31"/>
      <c r="CQ8" s="31"/>
      <c r="CR8" s="100" t="s">
        <v>52</v>
      </c>
    </row>
    <row r="9" spans="1:96" ht="15.75" customHeight="1" x14ac:dyDescent="0.25">
      <c r="A9" s="172" t="s">
        <v>55</v>
      </c>
      <c r="B9" s="116"/>
      <c r="C9" s="14"/>
      <c r="D9" s="14"/>
      <c r="E9" s="14"/>
      <c r="F9" s="34"/>
      <c r="G9" s="116"/>
      <c r="H9" s="43"/>
      <c r="I9" s="43"/>
      <c r="J9" s="14"/>
      <c r="K9" s="117"/>
      <c r="L9" s="33"/>
      <c r="M9" s="14"/>
      <c r="N9" s="14"/>
      <c r="O9" s="14"/>
      <c r="P9" s="118"/>
      <c r="Q9" s="155"/>
      <c r="R9" s="14"/>
      <c r="S9" s="14"/>
      <c r="T9" s="14"/>
      <c r="U9" s="92"/>
      <c r="V9" s="116"/>
      <c r="W9" s="14"/>
      <c r="X9" s="14"/>
      <c r="Y9" s="119"/>
      <c r="Z9" s="92"/>
      <c r="AA9" s="116"/>
      <c r="AB9" s="82"/>
      <c r="AC9" s="82"/>
      <c r="AD9" s="14"/>
      <c r="AE9" s="92"/>
      <c r="AF9" s="116"/>
      <c r="AG9" s="82"/>
      <c r="AH9" s="82"/>
      <c r="AI9" s="14"/>
      <c r="AJ9" s="34"/>
      <c r="AK9" s="116"/>
      <c r="AL9" s="82"/>
      <c r="AM9" s="82"/>
      <c r="AN9" s="14"/>
      <c r="AO9" s="92"/>
      <c r="AP9" s="116"/>
      <c r="AQ9" s="14"/>
      <c r="AR9" s="14"/>
      <c r="AS9" s="14"/>
      <c r="AT9" s="92"/>
      <c r="AU9" s="116"/>
      <c r="AV9" s="82"/>
      <c r="AW9" s="82"/>
      <c r="AX9" s="14"/>
      <c r="AY9" s="92"/>
      <c r="AZ9" s="120"/>
      <c r="BA9" s="119"/>
      <c r="BB9" s="119"/>
      <c r="BC9" s="14"/>
      <c r="BD9" s="92"/>
      <c r="BE9" s="33"/>
      <c r="BF9" s="14"/>
      <c r="BG9" s="14"/>
      <c r="BH9" s="14"/>
      <c r="BI9" s="92"/>
      <c r="BJ9" s="33"/>
      <c r="BK9" s="14"/>
      <c r="BL9" s="14"/>
      <c r="BM9" s="14"/>
      <c r="BN9" s="92"/>
      <c r="BO9" s="33"/>
      <c r="BP9" s="14"/>
      <c r="BQ9" s="14"/>
      <c r="BR9" s="14"/>
      <c r="BS9" s="92"/>
      <c r="BT9" s="33"/>
      <c r="BU9" s="14"/>
      <c r="BV9" s="14"/>
      <c r="BW9" s="14"/>
      <c r="BX9" s="34"/>
      <c r="BY9" s="156"/>
      <c r="BZ9" s="14"/>
      <c r="CA9" s="14"/>
      <c r="CB9" s="14"/>
      <c r="CC9" s="34"/>
      <c r="CD9" s="33"/>
      <c r="CE9" s="14"/>
      <c r="CF9" s="14"/>
      <c r="CG9" s="14"/>
      <c r="CH9" s="34"/>
      <c r="CI9" s="33"/>
      <c r="CJ9" s="14"/>
      <c r="CK9" s="98" t="s">
        <v>48</v>
      </c>
      <c r="CL9" s="14"/>
      <c r="CM9" s="34"/>
      <c r="CN9" s="156"/>
      <c r="CO9" s="14"/>
      <c r="CP9" s="98" t="s">
        <v>48</v>
      </c>
      <c r="CQ9" s="14"/>
      <c r="CR9" s="34"/>
    </row>
    <row r="10" spans="1:96" ht="15.75" customHeight="1" thickBot="1" x14ac:dyDescent="0.3">
      <c r="A10" s="197" t="s">
        <v>56</v>
      </c>
      <c r="B10" s="127"/>
      <c r="C10" s="128"/>
      <c r="D10" s="128"/>
      <c r="E10" s="40"/>
      <c r="F10" s="41"/>
      <c r="G10" s="127"/>
      <c r="H10" s="128"/>
      <c r="I10" s="128"/>
      <c r="J10" s="40"/>
      <c r="K10" s="129"/>
      <c r="L10" s="127"/>
      <c r="M10" s="128"/>
      <c r="N10" s="128"/>
      <c r="O10" s="40"/>
      <c r="P10" s="130"/>
      <c r="Q10" s="160"/>
      <c r="R10" s="128"/>
      <c r="S10" s="128"/>
      <c r="T10" s="40"/>
      <c r="U10" s="93"/>
      <c r="V10" s="127"/>
      <c r="W10" s="128"/>
      <c r="X10" s="128"/>
      <c r="Y10" s="128"/>
      <c r="Z10" s="93"/>
      <c r="AA10" s="127"/>
      <c r="AB10" s="128"/>
      <c r="AC10" s="128"/>
      <c r="AD10" s="40"/>
      <c r="AE10" s="93"/>
      <c r="AF10" s="127"/>
      <c r="AG10" s="131"/>
      <c r="AH10" s="131"/>
      <c r="AI10" s="40"/>
      <c r="AJ10" s="41"/>
      <c r="AK10" s="127"/>
      <c r="AL10" s="128"/>
      <c r="AM10" s="128"/>
      <c r="AN10" s="40"/>
      <c r="AO10" s="93"/>
      <c r="AP10" s="127"/>
      <c r="AQ10" s="128"/>
      <c r="AR10" s="128"/>
      <c r="AS10" s="40"/>
      <c r="AT10" s="93"/>
      <c r="AU10" s="127"/>
      <c r="AV10" s="128"/>
      <c r="AW10" s="128"/>
      <c r="AX10" s="40"/>
      <c r="AY10" s="93"/>
      <c r="AZ10" s="132"/>
      <c r="BA10" s="131"/>
      <c r="BB10" s="131"/>
      <c r="BC10" s="40"/>
      <c r="BD10" s="93"/>
      <c r="BE10" s="39"/>
      <c r="BF10" s="40"/>
      <c r="BG10" s="40"/>
      <c r="BH10" s="40"/>
      <c r="BI10" s="93"/>
      <c r="BJ10" s="39"/>
      <c r="BK10" s="40"/>
      <c r="BL10" s="40"/>
      <c r="BM10" s="40"/>
      <c r="BN10" s="93"/>
      <c r="BO10" s="39"/>
      <c r="BP10" s="40"/>
      <c r="BQ10" s="40"/>
      <c r="BR10" s="40"/>
      <c r="BS10" s="93"/>
      <c r="BT10" s="39"/>
      <c r="BU10" s="40"/>
      <c r="BV10" s="40"/>
      <c r="BW10" s="40"/>
      <c r="BX10" s="41"/>
      <c r="BY10" s="238"/>
      <c r="BZ10" s="40"/>
      <c r="CA10" s="40"/>
      <c r="CB10" s="40"/>
      <c r="CC10" s="41"/>
      <c r="CD10" s="39"/>
      <c r="CE10" s="40"/>
      <c r="CF10" s="40"/>
      <c r="CG10" s="40"/>
      <c r="CH10" s="41"/>
      <c r="CI10" s="134" t="s">
        <v>48</v>
      </c>
      <c r="CJ10" s="40"/>
      <c r="CK10" s="40"/>
      <c r="CL10" s="40"/>
      <c r="CM10" s="41"/>
      <c r="CN10" s="157" t="s">
        <v>48</v>
      </c>
      <c r="CO10" s="40"/>
      <c r="CP10" s="40"/>
      <c r="CQ10" s="40"/>
      <c r="CR10" s="41"/>
    </row>
    <row r="11" spans="1:96" s="8" customFormat="1" ht="15.75" hidden="1" customHeight="1" x14ac:dyDescent="0.25">
      <c r="A11" s="18"/>
      <c r="B11" s="19"/>
      <c r="C11" s="19"/>
      <c r="D11" s="19"/>
      <c r="E11" s="20"/>
      <c r="F11" s="20"/>
      <c r="G11" s="19"/>
      <c r="H11" s="19"/>
      <c r="I11" s="19"/>
      <c r="J11" s="20"/>
      <c r="K11" s="19"/>
      <c r="L11" s="19"/>
      <c r="M11" s="19"/>
      <c r="N11" s="19"/>
      <c r="O11" s="20"/>
      <c r="P11" s="24"/>
      <c r="Q11" s="19"/>
      <c r="R11" s="19"/>
      <c r="S11" s="19"/>
      <c r="T11" s="20"/>
      <c r="U11" s="20"/>
      <c r="V11" s="19"/>
      <c r="W11" s="19"/>
      <c r="X11" s="19"/>
      <c r="Y11" s="19"/>
      <c r="Z11" s="20"/>
      <c r="AA11" s="19"/>
      <c r="AB11" s="19"/>
      <c r="AC11" s="19"/>
      <c r="AD11" s="20"/>
      <c r="AE11" s="20"/>
      <c r="AF11" s="19"/>
      <c r="AG11" s="19"/>
      <c r="AH11" s="19"/>
      <c r="AI11" s="20"/>
      <c r="AJ11" s="20"/>
      <c r="AK11" s="19"/>
      <c r="AL11" s="19"/>
      <c r="AM11" s="19"/>
      <c r="AN11" s="20"/>
      <c r="AO11" s="20"/>
      <c r="AP11" s="19"/>
      <c r="AQ11" s="19"/>
      <c r="AR11" s="19"/>
      <c r="AS11" s="20"/>
      <c r="AT11" s="20"/>
      <c r="AU11" s="19"/>
      <c r="AV11" s="19"/>
      <c r="AW11" s="19"/>
      <c r="AX11" s="20"/>
      <c r="AY11" s="20"/>
      <c r="AZ11" s="19"/>
      <c r="BA11" s="19"/>
      <c r="BB11" s="19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</row>
    <row r="12" spans="1:96" ht="15.75" customHeight="1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9"/>
      <c r="O12" s="20"/>
      <c r="P12" s="24"/>
      <c r="Q12" s="19"/>
      <c r="R12" s="19"/>
      <c r="S12" s="19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</row>
    <row r="13" spans="1:96" ht="15.75" customHeight="1" x14ac:dyDescent="0.25">
      <c r="A13" s="171" t="s">
        <v>0</v>
      </c>
      <c r="B13" s="101" t="s">
        <v>17</v>
      </c>
      <c r="C13" s="125" t="s">
        <v>12</v>
      </c>
      <c r="D13" s="126" t="s">
        <v>14</v>
      </c>
      <c r="E13" s="126" t="s">
        <v>13</v>
      </c>
      <c r="F13" s="126" t="s">
        <v>49</v>
      </c>
      <c r="G13" s="126" t="s">
        <v>16</v>
      </c>
      <c r="H13" s="126" t="s">
        <v>18</v>
      </c>
      <c r="I13" s="126" t="s">
        <v>15</v>
      </c>
      <c r="J13" s="126" t="s">
        <v>52</v>
      </c>
      <c r="K13" s="126" t="s">
        <v>19</v>
      </c>
      <c r="L13" s="2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 t="s">
        <v>53</v>
      </c>
      <c r="CB13" s="2"/>
      <c r="CC13" s="2"/>
      <c r="CD13" s="2"/>
      <c r="CE13" s="2"/>
      <c r="CF13" s="2"/>
      <c r="CG13" s="2"/>
      <c r="CH13" s="2"/>
    </row>
    <row r="14" spans="1:96" ht="15.75" customHeight="1" x14ac:dyDescent="0.25">
      <c r="A14" s="124" t="s">
        <v>36</v>
      </c>
      <c r="B14" s="122">
        <f t="shared" ref="B14:B20" si="0">SUM(C14:J14)</f>
        <v>72</v>
      </c>
      <c r="C14" s="123">
        <f t="shared" ref="C14:I14" si="1">COUNTIF($Q4:$BX4,C$13)*2</f>
        <v>20</v>
      </c>
      <c r="D14" s="123">
        <f t="shared" si="1"/>
        <v>2</v>
      </c>
      <c r="E14" s="123">
        <f t="shared" si="1"/>
        <v>12</v>
      </c>
      <c r="F14" s="123">
        <f t="shared" si="1"/>
        <v>30</v>
      </c>
      <c r="G14" s="123">
        <f t="shared" si="1"/>
        <v>0</v>
      </c>
      <c r="H14" s="123">
        <f t="shared" si="1"/>
        <v>4</v>
      </c>
      <c r="I14" s="123">
        <f t="shared" si="1"/>
        <v>4</v>
      </c>
      <c r="J14" s="123"/>
      <c r="K14" s="174">
        <f>C14/B14</f>
        <v>0.27777777777777779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spans="1:96" ht="15.75" customHeight="1" x14ac:dyDescent="0.25">
      <c r="A15" s="124" t="s">
        <v>40</v>
      </c>
      <c r="B15" s="122">
        <f t="shared" si="0"/>
        <v>62</v>
      </c>
      <c r="C15" s="123">
        <f t="shared" ref="C15:I15" si="2">COUNTIF($D5:$BX5,C$13)*2</f>
        <v>24</v>
      </c>
      <c r="D15" s="123">
        <f t="shared" si="2"/>
        <v>4</v>
      </c>
      <c r="E15" s="123">
        <f t="shared" si="2"/>
        <v>26</v>
      </c>
      <c r="F15" s="123">
        <f t="shared" si="2"/>
        <v>0</v>
      </c>
      <c r="G15" s="123">
        <f t="shared" si="2"/>
        <v>4</v>
      </c>
      <c r="H15" s="123">
        <f t="shared" si="2"/>
        <v>4</v>
      </c>
      <c r="I15" s="123">
        <f t="shared" si="2"/>
        <v>0</v>
      </c>
      <c r="J15" s="123"/>
      <c r="K15" s="174">
        <f t="shared" ref="K15:K18" si="3">C15/B15</f>
        <v>0.38709677419354838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</row>
    <row r="16" spans="1:96" ht="15.75" customHeight="1" x14ac:dyDescent="0.25">
      <c r="A16" s="124" t="s">
        <v>66</v>
      </c>
      <c r="B16" s="122">
        <f t="shared" si="0"/>
        <v>0</v>
      </c>
      <c r="C16" s="123">
        <f t="shared" ref="C16:I18" si="4">COUNTIF($B6:$BX6,C$13)*2</f>
        <v>0</v>
      </c>
      <c r="D16" s="123">
        <f t="shared" si="4"/>
        <v>0</v>
      </c>
      <c r="E16" s="123">
        <f t="shared" si="4"/>
        <v>0</v>
      </c>
      <c r="F16" s="123">
        <f t="shared" si="4"/>
        <v>0</v>
      </c>
      <c r="G16" s="123">
        <f t="shared" si="4"/>
        <v>0</v>
      </c>
      <c r="H16" s="123">
        <f t="shared" si="4"/>
        <v>0</v>
      </c>
      <c r="I16" s="123">
        <f t="shared" si="4"/>
        <v>0</v>
      </c>
      <c r="J16" s="122"/>
      <c r="K16" s="17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spans="1:96" ht="15.75" customHeight="1" x14ac:dyDescent="0.25">
      <c r="A17" s="124" t="s">
        <v>70</v>
      </c>
      <c r="B17" s="122">
        <f t="shared" si="0"/>
        <v>0</v>
      </c>
      <c r="C17" s="123">
        <f t="shared" si="4"/>
        <v>0</v>
      </c>
      <c r="D17" s="123">
        <f t="shared" si="4"/>
        <v>0</v>
      </c>
      <c r="E17" s="123">
        <f t="shared" si="4"/>
        <v>0</v>
      </c>
      <c r="F17" s="123">
        <f t="shared" si="4"/>
        <v>0</v>
      </c>
      <c r="G17" s="123">
        <f t="shared" si="4"/>
        <v>0</v>
      </c>
      <c r="H17" s="123">
        <f t="shared" si="4"/>
        <v>0</v>
      </c>
      <c r="I17" s="123">
        <f t="shared" si="4"/>
        <v>0</v>
      </c>
      <c r="J17" s="122"/>
      <c r="K17" s="17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pans="1:96" ht="15.75" customHeight="1" x14ac:dyDescent="0.25">
      <c r="A18" s="124" t="s">
        <v>51</v>
      </c>
      <c r="B18" s="122">
        <f t="shared" ref="B18" si="5">SUM(C18:J18)</f>
        <v>288</v>
      </c>
      <c r="C18" s="123">
        <f t="shared" si="4"/>
        <v>0</v>
      </c>
      <c r="D18" s="123">
        <f t="shared" si="4"/>
        <v>0</v>
      </c>
      <c r="E18" s="123">
        <f t="shared" si="4"/>
        <v>0</v>
      </c>
      <c r="F18" s="123">
        <f t="shared" si="4"/>
        <v>0</v>
      </c>
      <c r="G18" s="123">
        <f t="shared" si="4"/>
        <v>0</v>
      </c>
      <c r="H18" s="123">
        <f t="shared" si="4"/>
        <v>0</v>
      </c>
      <c r="I18" s="123">
        <f>COUNTIF($B8:$BX8,I$13)*2</f>
        <v>0</v>
      </c>
      <c r="J18" s="123">
        <f>COUNTIF($B8:$BV8,J$13)*8</f>
        <v>288</v>
      </c>
      <c r="K18" s="174">
        <f t="shared" si="3"/>
        <v>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pans="1:96" ht="15.75" customHeight="1" x14ac:dyDescent="0.25">
      <c r="A19" s="124" t="s">
        <v>55</v>
      </c>
      <c r="B19" s="122">
        <f t="shared" si="0"/>
        <v>0</v>
      </c>
      <c r="C19" s="123">
        <f>COUNTIF($B9:$BX9,C$13)*2</f>
        <v>0</v>
      </c>
      <c r="D19" s="123">
        <f t="shared" ref="D19:G20" si="6">COUNTIF($B9:$BX9,D$13)*2</f>
        <v>0</v>
      </c>
      <c r="E19" s="123">
        <f t="shared" si="6"/>
        <v>0</v>
      </c>
      <c r="F19" s="123">
        <f t="shared" si="6"/>
        <v>0</v>
      </c>
      <c r="G19" s="123">
        <f t="shared" si="6"/>
        <v>0</v>
      </c>
      <c r="H19" s="123">
        <f>COUNTIF($B9:$BX9,H$13)*2</f>
        <v>0</v>
      </c>
      <c r="I19" s="123">
        <f>COUNTIF($B9:$BX9,I$13)*2</f>
        <v>0</v>
      </c>
      <c r="J19" s="123"/>
      <c r="K19" s="12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1:96" ht="15.75" customHeight="1" x14ac:dyDescent="0.25">
      <c r="A20" s="124" t="s">
        <v>56</v>
      </c>
      <c r="B20" s="122">
        <f t="shared" si="0"/>
        <v>0</v>
      </c>
      <c r="C20" s="123">
        <f>COUNTIF($B10:$BX10,C$13)*2</f>
        <v>0</v>
      </c>
      <c r="D20" s="123">
        <f t="shared" si="6"/>
        <v>0</v>
      </c>
      <c r="E20" s="123">
        <f t="shared" si="6"/>
        <v>0</v>
      </c>
      <c r="F20" s="123">
        <f t="shared" si="6"/>
        <v>0</v>
      </c>
      <c r="G20" s="123">
        <f t="shared" si="6"/>
        <v>0</v>
      </c>
      <c r="H20" s="123">
        <f>COUNTIF($B10:$BX10,H$13)*2</f>
        <v>0</v>
      </c>
      <c r="I20" s="123">
        <f>COUNTIF($B10:$BX10,I$13)*2</f>
        <v>0</v>
      </c>
      <c r="J20" s="123"/>
      <c r="K20" s="12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spans="1:96" ht="15.75" customHeight="1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</row>
    <row r="22" spans="1:96" ht="15.75" customHeight="1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17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</row>
    <row r="23" spans="1:96" ht="15.75" customHeight="1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17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</row>
    <row r="24" spans="1:96" ht="13.2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17"/>
      <c r="P24" s="17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</row>
    <row r="25" spans="1:96" ht="13.2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17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</row>
    <row r="26" spans="1:96" ht="13.2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17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</row>
    <row r="27" spans="1:96" ht="13.2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17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</row>
    <row r="28" spans="1:96" ht="13.2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17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</row>
    <row r="29" spans="1:96" ht="13.2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17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</row>
    <row r="30" spans="1:96" ht="13.2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7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</row>
    <row r="31" spans="1:96" ht="13.2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17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</row>
    <row r="32" spans="1:96" ht="13.2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17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</row>
    <row r="33" spans="2:96" ht="13.2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17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</row>
    <row r="34" spans="2:96" ht="13.2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17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</row>
    <row r="35" spans="2:96" ht="13.2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17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</row>
    <row r="36" spans="2:96" ht="13.2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17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</row>
    <row r="37" spans="2:96" ht="13.2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17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</row>
    <row r="38" spans="2:96" ht="13.2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17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</row>
    <row r="39" spans="2:96" ht="13.2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17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</row>
    <row r="40" spans="2:96" ht="13.2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17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</row>
    <row r="41" spans="2:96" ht="13.2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17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</row>
    <row r="42" spans="2:96" ht="13.2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17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</row>
    <row r="43" spans="2:96" ht="13.2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17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</row>
    <row r="44" spans="2:96" ht="13.2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17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</row>
    <row r="45" spans="2:96" ht="13.2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17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</row>
    <row r="46" spans="2:96" ht="13.2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17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</row>
    <row r="47" spans="2:96" ht="13.2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17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</row>
    <row r="48" spans="2:96" ht="13.2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17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</row>
    <row r="49" spans="2:96" ht="13.2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17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</row>
    <row r="50" spans="2:96" ht="13.2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17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</row>
    <row r="51" spans="2:96" ht="13.2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17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</row>
    <row r="52" spans="2:96" ht="13.2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17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</row>
    <row r="53" spans="2:96" ht="13.2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17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</row>
    <row r="54" spans="2:96" ht="13.2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17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</row>
    <row r="55" spans="2:96" ht="13.2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17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</row>
    <row r="56" spans="2:96" ht="13.2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17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</row>
    <row r="57" spans="2:96" ht="13.2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17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</row>
    <row r="58" spans="2:96" ht="13.2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17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</row>
    <row r="59" spans="2:96" ht="13.2" x14ac:dyDescent="0.2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17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</row>
    <row r="60" spans="2:96" ht="13.2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17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</row>
    <row r="61" spans="2:96" ht="13.2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17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</row>
    <row r="62" spans="2:96" ht="13.2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17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</row>
    <row r="63" spans="2:96" ht="13.2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17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</row>
    <row r="64" spans="2:96" ht="13.2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17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</row>
    <row r="65" spans="2:96" ht="13.2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17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</row>
    <row r="66" spans="2:96" ht="13.2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17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</row>
    <row r="67" spans="2:96" ht="13.2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17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</row>
    <row r="68" spans="2:96" ht="13.2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17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</row>
    <row r="69" spans="2:96" ht="13.2" x14ac:dyDescent="0.2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17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</row>
    <row r="70" spans="2:96" ht="13.2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17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</row>
    <row r="71" spans="2:96" ht="13.2" x14ac:dyDescent="0.2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17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</row>
    <row r="72" spans="2:96" ht="13.2" x14ac:dyDescent="0.2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17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</row>
    <row r="73" spans="2:96" ht="13.2" x14ac:dyDescent="0.2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17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</row>
    <row r="74" spans="2:96" ht="13.2" x14ac:dyDescent="0.2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17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</row>
    <row r="75" spans="2:96" ht="13.2" x14ac:dyDescent="0.2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17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</row>
    <row r="76" spans="2:96" ht="13.2" x14ac:dyDescent="0.2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17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</row>
    <row r="77" spans="2:96" ht="13.2" x14ac:dyDescent="0.2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17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</row>
    <row r="78" spans="2:96" ht="13.2" x14ac:dyDescent="0.2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17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</row>
    <row r="79" spans="2:96" ht="13.2" x14ac:dyDescent="0.2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17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</row>
    <row r="80" spans="2:96" ht="13.2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17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</row>
    <row r="81" spans="2:96" ht="13.2" x14ac:dyDescent="0.2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17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</row>
    <row r="82" spans="2:96" ht="13.2" x14ac:dyDescent="0.2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17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</row>
    <row r="83" spans="2:96" ht="13.2" x14ac:dyDescent="0.2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17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</row>
    <row r="84" spans="2:96" ht="13.2" x14ac:dyDescent="0.2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17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</row>
    <row r="85" spans="2:96" ht="13.2" x14ac:dyDescent="0.2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17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</row>
    <row r="86" spans="2:96" ht="13.2" x14ac:dyDescent="0.2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17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</row>
    <row r="87" spans="2:96" ht="13.2" x14ac:dyDescent="0.2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17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</row>
    <row r="88" spans="2:96" ht="13.2" x14ac:dyDescent="0.2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17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</row>
    <row r="89" spans="2:96" ht="13.2" x14ac:dyDescent="0.2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17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</row>
    <row r="90" spans="2:96" ht="13.2" x14ac:dyDescent="0.2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17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</row>
    <row r="91" spans="2:96" ht="13.2" x14ac:dyDescent="0.2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17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</row>
    <row r="92" spans="2:96" ht="13.2" x14ac:dyDescent="0.2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17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</row>
    <row r="93" spans="2:96" ht="13.2" x14ac:dyDescent="0.2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17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</row>
    <row r="94" spans="2:96" ht="13.2" x14ac:dyDescent="0.2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17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</row>
    <row r="95" spans="2:96" ht="13.2" x14ac:dyDescent="0.2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17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</row>
    <row r="96" spans="2:96" ht="13.2" x14ac:dyDescent="0.2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17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</row>
    <row r="97" spans="2:96" ht="13.2" x14ac:dyDescent="0.2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17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</row>
    <row r="98" spans="2:96" ht="13.2" x14ac:dyDescent="0.2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17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</row>
    <row r="99" spans="2:96" ht="13.2" x14ac:dyDescent="0.2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17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</row>
    <row r="100" spans="2:96" ht="13.2" x14ac:dyDescent="0.2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17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</row>
    <row r="101" spans="2:96" ht="13.2" x14ac:dyDescent="0.2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17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</row>
    <row r="102" spans="2:96" ht="13.2" x14ac:dyDescent="0.2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17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</row>
    <row r="103" spans="2:96" ht="13.2" x14ac:dyDescent="0.2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17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</row>
    <row r="104" spans="2:96" ht="13.2" x14ac:dyDescent="0.2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17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</row>
    <row r="105" spans="2:96" ht="13.2" x14ac:dyDescent="0.2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17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</row>
    <row r="106" spans="2:96" ht="13.2" x14ac:dyDescent="0.2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17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</row>
    <row r="107" spans="2:96" ht="13.2" x14ac:dyDescent="0.2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17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</row>
    <row r="108" spans="2:96" ht="13.2" x14ac:dyDescent="0.2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17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</row>
    <row r="109" spans="2:96" ht="13.2" x14ac:dyDescent="0.2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17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</row>
    <row r="110" spans="2:96" ht="13.2" x14ac:dyDescent="0.2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17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</row>
    <row r="111" spans="2:96" ht="13.2" x14ac:dyDescent="0.2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17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</row>
    <row r="112" spans="2:96" ht="13.2" x14ac:dyDescent="0.2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17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</row>
    <row r="113" spans="2:96" ht="13.2" x14ac:dyDescent="0.2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17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</row>
    <row r="114" spans="2:96" ht="13.2" x14ac:dyDescent="0.2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17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</row>
    <row r="115" spans="2:96" ht="13.2" x14ac:dyDescent="0.2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17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</row>
    <row r="116" spans="2:96" ht="13.2" x14ac:dyDescent="0.2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17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</row>
    <row r="117" spans="2:96" ht="13.2" x14ac:dyDescent="0.2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17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</row>
    <row r="118" spans="2:96" ht="13.2" x14ac:dyDescent="0.2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17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</row>
    <row r="119" spans="2:96" ht="13.2" x14ac:dyDescent="0.2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17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</row>
    <row r="120" spans="2:96" ht="13.2" x14ac:dyDescent="0.2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17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</row>
    <row r="121" spans="2:96" ht="13.2" x14ac:dyDescent="0.2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17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</row>
    <row r="122" spans="2:96" ht="13.2" x14ac:dyDescent="0.2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17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</row>
    <row r="123" spans="2:96" ht="13.2" x14ac:dyDescent="0.2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17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</row>
    <row r="124" spans="2:96" ht="13.2" x14ac:dyDescent="0.2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17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</row>
    <row r="125" spans="2:96" ht="13.2" x14ac:dyDescent="0.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17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</row>
    <row r="126" spans="2:96" ht="13.2" x14ac:dyDescent="0.2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17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</row>
    <row r="127" spans="2:96" ht="13.2" x14ac:dyDescent="0.2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7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</row>
    <row r="128" spans="2:96" ht="13.2" x14ac:dyDescent="0.2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17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</row>
    <row r="129" spans="2:96" ht="13.2" x14ac:dyDescent="0.2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17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</row>
    <row r="130" spans="2:96" ht="13.2" x14ac:dyDescent="0.2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17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</row>
    <row r="131" spans="2:96" ht="13.2" x14ac:dyDescent="0.2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17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</row>
    <row r="132" spans="2:96" ht="13.2" x14ac:dyDescent="0.2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17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</row>
    <row r="133" spans="2:96" ht="13.2" x14ac:dyDescent="0.2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17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</row>
    <row r="134" spans="2:96" ht="13.2" x14ac:dyDescent="0.2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17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</row>
    <row r="135" spans="2:96" ht="13.2" x14ac:dyDescent="0.2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17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</row>
    <row r="136" spans="2:96" ht="13.2" x14ac:dyDescent="0.2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17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</row>
    <row r="137" spans="2:96" ht="13.2" x14ac:dyDescent="0.2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17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</row>
    <row r="138" spans="2:96" ht="13.2" x14ac:dyDescent="0.2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17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</row>
    <row r="139" spans="2:96" ht="13.2" x14ac:dyDescent="0.2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17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</row>
    <row r="140" spans="2:96" ht="13.2" x14ac:dyDescent="0.2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17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</row>
    <row r="141" spans="2:96" ht="13.2" x14ac:dyDescent="0.2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17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</row>
    <row r="142" spans="2:96" ht="13.2" x14ac:dyDescent="0.2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17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</row>
    <row r="143" spans="2:96" ht="13.2" x14ac:dyDescent="0.2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17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</row>
    <row r="144" spans="2:96" ht="13.2" x14ac:dyDescent="0.2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17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</row>
    <row r="145" spans="2:96" ht="13.2" x14ac:dyDescent="0.2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17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</row>
    <row r="146" spans="2:96" ht="13.2" x14ac:dyDescent="0.2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17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</row>
    <row r="147" spans="2:96" ht="13.2" x14ac:dyDescent="0.2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17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</row>
    <row r="148" spans="2:96" ht="13.2" x14ac:dyDescent="0.2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17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</row>
    <row r="149" spans="2:96" ht="13.2" x14ac:dyDescent="0.2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17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</row>
    <row r="150" spans="2:96" ht="13.2" x14ac:dyDescent="0.2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17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</row>
    <row r="151" spans="2:96" ht="13.2" x14ac:dyDescent="0.2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17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</row>
    <row r="152" spans="2:96" ht="13.2" x14ac:dyDescent="0.2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17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</row>
    <row r="153" spans="2:96" ht="13.2" x14ac:dyDescent="0.2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17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</row>
    <row r="154" spans="2:96" ht="13.2" x14ac:dyDescent="0.2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17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</row>
    <row r="155" spans="2:96" ht="13.2" x14ac:dyDescent="0.2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17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</row>
    <row r="156" spans="2:96" ht="13.2" x14ac:dyDescent="0.2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17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</row>
    <row r="157" spans="2:96" ht="13.2" x14ac:dyDescent="0.2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17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</row>
    <row r="158" spans="2:96" ht="13.2" x14ac:dyDescent="0.2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17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</row>
    <row r="159" spans="2:96" ht="13.2" x14ac:dyDescent="0.2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17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</row>
    <row r="160" spans="2:96" ht="13.2" x14ac:dyDescent="0.2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17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</row>
    <row r="161" spans="2:96" ht="13.2" x14ac:dyDescent="0.2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17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</row>
    <row r="162" spans="2:96" ht="13.2" x14ac:dyDescent="0.2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17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</row>
    <row r="163" spans="2:96" ht="13.2" x14ac:dyDescent="0.2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17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</row>
    <row r="164" spans="2:96" ht="13.2" x14ac:dyDescent="0.2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17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</row>
    <row r="165" spans="2:96" ht="13.2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17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</row>
    <row r="166" spans="2:96" ht="13.2" x14ac:dyDescent="0.2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17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</row>
    <row r="167" spans="2:96" ht="13.2" x14ac:dyDescent="0.2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17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</row>
    <row r="168" spans="2:96" ht="13.2" x14ac:dyDescent="0.2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17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</row>
    <row r="169" spans="2:96" ht="13.2" x14ac:dyDescent="0.2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17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</row>
    <row r="170" spans="2:96" ht="13.2" x14ac:dyDescent="0.2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17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</row>
    <row r="171" spans="2:96" ht="13.2" x14ac:dyDescent="0.2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17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</row>
    <row r="172" spans="2:96" ht="13.2" x14ac:dyDescent="0.2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17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</row>
    <row r="173" spans="2:96" ht="13.2" x14ac:dyDescent="0.2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17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</row>
    <row r="174" spans="2:96" ht="13.2" x14ac:dyDescent="0.2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17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</row>
    <row r="175" spans="2:96" ht="13.2" x14ac:dyDescent="0.2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17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</row>
    <row r="176" spans="2:96" ht="13.2" x14ac:dyDescent="0.2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17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</row>
    <row r="177" spans="2:96" ht="13.2" x14ac:dyDescent="0.2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17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</row>
    <row r="178" spans="2:96" ht="13.2" x14ac:dyDescent="0.2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17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</row>
    <row r="179" spans="2:96" ht="13.2" x14ac:dyDescent="0.2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17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</row>
    <row r="180" spans="2:96" ht="13.2" x14ac:dyDescent="0.2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17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</row>
    <row r="181" spans="2:96" ht="13.2" x14ac:dyDescent="0.2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17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</row>
    <row r="182" spans="2:96" ht="13.2" x14ac:dyDescent="0.2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17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</row>
    <row r="183" spans="2:96" ht="13.2" x14ac:dyDescent="0.2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17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</row>
    <row r="184" spans="2:96" ht="13.2" x14ac:dyDescent="0.2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17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</row>
    <row r="185" spans="2:96" ht="13.2" x14ac:dyDescent="0.2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17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</row>
    <row r="186" spans="2:96" ht="13.2" x14ac:dyDescent="0.2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17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</row>
    <row r="187" spans="2:96" ht="13.2" x14ac:dyDescent="0.2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17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</row>
    <row r="188" spans="2:96" ht="13.2" x14ac:dyDescent="0.2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17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</row>
    <row r="189" spans="2:96" ht="13.2" x14ac:dyDescent="0.2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17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</row>
    <row r="190" spans="2:96" ht="13.2" x14ac:dyDescent="0.2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17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</row>
    <row r="191" spans="2:96" ht="13.2" x14ac:dyDescent="0.2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17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</row>
    <row r="192" spans="2:96" ht="13.2" x14ac:dyDescent="0.2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17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</row>
    <row r="193" spans="2:96" ht="13.2" x14ac:dyDescent="0.2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17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</row>
    <row r="194" spans="2:96" ht="13.2" x14ac:dyDescent="0.2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17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</row>
    <row r="195" spans="2:96" ht="13.2" x14ac:dyDescent="0.2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17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</row>
    <row r="196" spans="2:96" ht="13.2" x14ac:dyDescent="0.2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17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</row>
    <row r="197" spans="2:96" ht="13.2" x14ac:dyDescent="0.2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17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</row>
    <row r="198" spans="2:96" ht="13.2" x14ac:dyDescent="0.2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17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</row>
    <row r="199" spans="2:96" ht="13.2" x14ac:dyDescent="0.2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17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</row>
    <row r="200" spans="2:96" ht="13.2" x14ac:dyDescent="0.2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17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</row>
    <row r="201" spans="2:96" ht="13.2" x14ac:dyDescent="0.2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17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</row>
    <row r="202" spans="2:96" ht="13.2" x14ac:dyDescent="0.2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17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</row>
    <row r="203" spans="2:96" ht="13.2" x14ac:dyDescent="0.2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17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</row>
    <row r="204" spans="2:96" ht="13.2" x14ac:dyDescent="0.2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17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</row>
    <row r="205" spans="2:96" ht="13.2" x14ac:dyDescent="0.2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17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</row>
    <row r="206" spans="2:96" ht="13.2" x14ac:dyDescent="0.2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17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</row>
    <row r="207" spans="2:96" ht="13.2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17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</row>
    <row r="208" spans="2:96" ht="13.2" x14ac:dyDescent="0.2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17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</row>
    <row r="209" spans="2:96" ht="13.2" x14ac:dyDescent="0.2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17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</row>
    <row r="210" spans="2:96" ht="13.2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17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</row>
    <row r="211" spans="2:96" ht="13.2" x14ac:dyDescent="0.2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17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</row>
    <row r="212" spans="2:96" ht="13.2" x14ac:dyDescent="0.2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17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</row>
    <row r="213" spans="2:96" ht="13.2" x14ac:dyDescent="0.2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17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</row>
    <row r="214" spans="2:96" ht="13.2" x14ac:dyDescent="0.2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17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</row>
    <row r="215" spans="2:96" ht="13.2" x14ac:dyDescent="0.2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17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</row>
    <row r="216" spans="2:96" ht="13.2" x14ac:dyDescent="0.2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17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</row>
    <row r="217" spans="2:96" ht="13.2" x14ac:dyDescent="0.2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17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</row>
    <row r="218" spans="2:96" ht="13.2" x14ac:dyDescent="0.2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17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</row>
    <row r="219" spans="2:96" ht="13.2" x14ac:dyDescent="0.2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17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</row>
    <row r="220" spans="2:96" ht="13.2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17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</row>
    <row r="221" spans="2:96" ht="13.2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17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</row>
    <row r="222" spans="2:96" ht="13.2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17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</row>
    <row r="223" spans="2:96" ht="13.2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17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</row>
    <row r="224" spans="2:96" ht="13.2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17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</row>
    <row r="225" spans="2:96" ht="13.2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17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</row>
    <row r="226" spans="2:96" ht="13.2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17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</row>
    <row r="227" spans="2:96" ht="13.2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17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</row>
    <row r="228" spans="2:96" ht="13.2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17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</row>
    <row r="229" spans="2:96" ht="13.2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17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</row>
    <row r="230" spans="2:96" ht="13.2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17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</row>
    <row r="231" spans="2:96" ht="13.2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17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</row>
    <row r="232" spans="2:96" ht="13.2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17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</row>
    <row r="233" spans="2:96" ht="13.2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17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</row>
    <row r="234" spans="2:96" ht="13.2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17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</row>
    <row r="235" spans="2:96" ht="13.2" x14ac:dyDescent="0.2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17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</row>
    <row r="236" spans="2:96" ht="13.2" x14ac:dyDescent="0.2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17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</row>
    <row r="237" spans="2:96" ht="13.2" x14ac:dyDescent="0.2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17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</row>
    <row r="238" spans="2:96" ht="13.2" x14ac:dyDescent="0.2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17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</row>
    <row r="239" spans="2:96" ht="13.2" x14ac:dyDescent="0.2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17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</row>
    <row r="240" spans="2:96" ht="13.2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17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</row>
    <row r="241" spans="2:96" ht="13.2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17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</row>
    <row r="242" spans="2:96" ht="13.2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17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</row>
    <row r="243" spans="2:96" ht="13.2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17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</row>
    <row r="244" spans="2:96" ht="13.2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17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</row>
    <row r="245" spans="2:96" ht="13.2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17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</row>
    <row r="246" spans="2:96" ht="13.2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17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</row>
    <row r="247" spans="2:96" ht="13.2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17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</row>
    <row r="248" spans="2:96" ht="13.2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17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</row>
    <row r="249" spans="2:96" ht="13.2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17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</row>
    <row r="250" spans="2:96" ht="13.2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17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</row>
    <row r="251" spans="2:96" ht="13.2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17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</row>
    <row r="252" spans="2:96" ht="13.2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17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</row>
    <row r="253" spans="2:96" ht="13.2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17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</row>
    <row r="254" spans="2:96" ht="13.2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17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</row>
    <row r="255" spans="2:96" ht="13.2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17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</row>
    <row r="256" spans="2:96" ht="13.2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17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</row>
    <row r="257" spans="2:96" ht="13.2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17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</row>
    <row r="258" spans="2:96" ht="13.2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17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</row>
    <row r="259" spans="2:96" ht="13.2" x14ac:dyDescent="0.2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17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</row>
    <row r="260" spans="2:96" ht="13.2" x14ac:dyDescent="0.2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17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</row>
    <row r="261" spans="2:96" ht="13.2" x14ac:dyDescent="0.2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17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</row>
    <row r="262" spans="2:96" ht="13.2" x14ac:dyDescent="0.2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17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</row>
    <row r="263" spans="2:96" ht="13.2" x14ac:dyDescent="0.2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17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</row>
    <row r="264" spans="2:96" ht="13.2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17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</row>
    <row r="265" spans="2:96" ht="13.2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17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</row>
    <row r="266" spans="2:96" ht="13.2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17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</row>
    <row r="267" spans="2:96" ht="13.2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17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</row>
    <row r="268" spans="2:96" ht="13.2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17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</row>
    <row r="269" spans="2:96" ht="13.2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17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</row>
    <row r="270" spans="2:96" ht="13.2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17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</row>
    <row r="271" spans="2:96" ht="13.2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17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</row>
    <row r="272" spans="2:96" ht="13.2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17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</row>
    <row r="273" spans="2:96" ht="13.2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17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</row>
    <row r="274" spans="2:96" ht="13.2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17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</row>
    <row r="275" spans="2:96" ht="13.2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17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</row>
    <row r="276" spans="2:96" ht="13.2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17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</row>
    <row r="277" spans="2:96" ht="13.2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17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</row>
    <row r="278" spans="2:96" ht="13.2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17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</row>
    <row r="279" spans="2:96" ht="13.2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17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</row>
    <row r="280" spans="2:96" ht="13.2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17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</row>
    <row r="281" spans="2:96" ht="13.2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17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</row>
    <row r="282" spans="2:96" ht="13.2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17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</row>
    <row r="283" spans="2:96" ht="13.2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17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</row>
    <row r="284" spans="2:96" ht="13.2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17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</row>
    <row r="285" spans="2:96" ht="13.2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17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</row>
    <row r="286" spans="2:96" ht="13.2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17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</row>
    <row r="287" spans="2:96" ht="13.2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17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</row>
    <row r="288" spans="2:96" ht="13.2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17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</row>
    <row r="289" spans="2:96" ht="13.2" x14ac:dyDescent="0.2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17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</row>
    <row r="290" spans="2:96" ht="13.2" x14ac:dyDescent="0.2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17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</row>
    <row r="291" spans="2:96" ht="13.2" x14ac:dyDescent="0.2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17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</row>
    <row r="292" spans="2:96" ht="13.2" x14ac:dyDescent="0.2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17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</row>
    <row r="293" spans="2:96" ht="13.2" x14ac:dyDescent="0.2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17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</row>
    <row r="294" spans="2:96" ht="13.2" x14ac:dyDescent="0.2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17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</row>
    <row r="295" spans="2:96" ht="13.2" x14ac:dyDescent="0.2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17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</row>
    <row r="296" spans="2:96" ht="13.2" x14ac:dyDescent="0.2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17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</row>
    <row r="297" spans="2:96" ht="13.2" x14ac:dyDescent="0.2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17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</row>
    <row r="298" spans="2:96" ht="13.2" x14ac:dyDescent="0.2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17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</row>
    <row r="299" spans="2:96" ht="13.2" x14ac:dyDescent="0.2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17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</row>
    <row r="300" spans="2:96" ht="13.2" x14ac:dyDescent="0.2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17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</row>
    <row r="301" spans="2:96" ht="13.2" x14ac:dyDescent="0.2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17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</row>
    <row r="302" spans="2:96" ht="13.2" x14ac:dyDescent="0.2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17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</row>
    <row r="303" spans="2:96" ht="13.2" x14ac:dyDescent="0.2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17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</row>
    <row r="304" spans="2:96" ht="13.2" x14ac:dyDescent="0.2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17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</row>
    <row r="305" spans="2:96" ht="13.2" x14ac:dyDescent="0.2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17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</row>
    <row r="306" spans="2:96" ht="13.2" x14ac:dyDescent="0.2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17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</row>
    <row r="307" spans="2:96" ht="13.2" x14ac:dyDescent="0.2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17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</row>
    <row r="308" spans="2:96" ht="13.2" x14ac:dyDescent="0.2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17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</row>
    <row r="309" spans="2:96" ht="13.2" x14ac:dyDescent="0.2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17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</row>
    <row r="310" spans="2:96" ht="13.2" x14ac:dyDescent="0.2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17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</row>
    <row r="311" spans="2:96" ht="13.2" x14ac:dyDescent="0.2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17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</row>
    <row r="312" spans="2:96" ht="13.2" x14ac:dyDescent="0.2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17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</row>
    <row r="313" spans="2:96" ht="13.2" x14ac:dyDescent="0.2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17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</row>
    <row r="314" spans="2:96" ht="13.2" x14ac:dyDescent="0.2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17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</row>
    <row r="315" spans="2:96" ht="13.2" x14ac:dyDescent="0.2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17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</row>
    <row r="316" spans="2:96" ht="13.2" x14ac:dyDescent="0.2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17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</row>
    <row r="317" spans="2:96" ht="13.2" x14ac:dyDescent="0.2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17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</row>
    <row r="318" spans="2:96" ht="13.2" x14ac:dyDescent="0.2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17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</row>
    <row r="319" spans="2:96" ht="13.2" x14ac:dyDescent="0.2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17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</row>
    <row r="320" spans="2:96" ht="13.2" x14ac:dyDescent="0.2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17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</row>
    <row r="321" spans="2:96" ht="13.2" x14ac:dyDescent="0.2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17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</row>
    <row r="322" spans="2:96" ht="13.2" x14ac:dyDescent="0.2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17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</row>
    <row r="323" spans="2:96" ht="13.2" x14ac:dyDescent="0.2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17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</row>
    <row r="324" spans="2:96" ht="13.2" x14ac:dyDescent="0.2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17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</row>
    <row r="325" spans="2:96" ht="13.2" x14ac:dyDescent="0.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17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</row>
    <row r="326" spans="2:96" ht="13.2" x14ac:dyDescent="0.2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17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</row>
    <row r="327" spans="2:96" ht="13.2" x14ac:dyDescent="0.2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17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</row>
    <row r="328" spans="2:96" ht="13.2" x14ac:dyDescent="0.2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17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</row>
    <row r="329" spans="2:96" ht="13.2" x14ac:dyDescent="0.2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17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</row>
    <row r="330" spans="2:96" ht="13.2" x14ac:dyDescent="0.2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17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</row>
    <row r="331" spans="2:96" ht="13.2" x14ac:dyDescent="0.2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17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</row>
    <row r="332" spans="2:96" ht="13.2" x14ac:dyDescent="0.2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17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</row>
    <row r="333" spans="2:96" ht="13.2" x14ac:dyDescent="0.2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17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</row>
    <row r="334" spans="2:96" ht="13.2" x14ac:dyDescent="0.2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17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</row>
    <row r="335" spans="2:96" ht="13.2" x14ac:dyDescent="0.2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17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</row>
    <row r="336" spans="2:96" ht="13.2" x14ac:dyDescent="0.2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17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</row>
    <row r="337" spans="2:96" ht="13.2" x14ac:dyDescent="0.2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17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</row>
    <row r="338" spans="2:96" ht="13.2" x14ac:dyDescent="0.2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17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</row>
    <row r="339" spans="2:96" ht="13.2" x14ac:dyDescent="0.2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17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</row>
    <row r="340" spans="2:96" ht="13.2" x14ac:dyDescent="0.2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17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</row>
    <row r="341" spans="2:96" ht="13.2" x14ac:dyDescent="0.2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17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</row>
    <row r="342" spans="2:96" ht="13.2" x14ac:dyDescent="0.2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17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</row>
    <row r="343" spans="2:96" ht="13.2" x14ac:dyDescent="0.2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17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</row>
    <row r="344" spans="2:96" ht="13.2" x14ac:dyDescent="0.2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17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</row>
    <row r="345" spans="2:96" ht="13.2" x14ac:dyDescent="0.2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17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</row>
    <row r="346" spans="2:96" ht="13.2" x14ac:dyDescent="0.2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17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</row>
    <row r="347" spans="2:96" ht="13.2" x14ac:dyDescent="0.2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17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</row>
    <row r="348" spans="2:96" ht="13.2" x14ac:dyDescent="0.2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17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</row>
    <row r="349" spans="2:96" ht="13.2" x14ac:dyDescent="0.2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17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</row>
    <row r="350" spans="2:96" ht="13.2" x14ac:dyDescent="0.2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17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</row>
    <row r="351" spans="2:96" ht="13.2" x14ac:dyDescent="0.2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17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</row>
    <row r="352" spans="2:96" ht="13.2" x14ac:dyDescent="0.2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17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</row>
    <row r="353" spans="2:96" ht="13.2" x14ac:dyDescent="0.2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17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</row>
    <row r="354" spans="2:96" ht="13.2" x14ac:dyDescent="0.2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17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</row>
    <row r="355" spans="2:96" ht="13.2" x14ac:dyDescent="0.2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17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</row>
    <row r="356" spans="2:96" ht="13.2" x14ac:dyDescent="0.2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17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</row>
    <row r="357" spans="2:96" ht="13.2" x14ac:dyDescent="0.2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17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</row>
    <row r="358" spans="2:96" ht="13.2" x14ac:dyDescent="0.2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17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</row>
    <row r="359" spans="2:96" ht="13.2" x14ac:dyDescent="0.2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17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</row>
    <row r="360" spans="2:96" ht="13.2" x14ac:dyDescent="0.2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17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</row>
    <row r="361" spans="2:96" ht="13.2" x14ac:dyDescent="0.2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17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</row>
    <row r="362" spans="2:96" ht="13.2" x14ac:dyDescent="0.2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17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</row>
    <row r="363" spans="2:96" ht="13.2" x14ac:dyDescent="0.2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17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</row>
    <row r="364" spans="2:96" ht="13.2" x14ac:dyDescent="0.2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17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</row>
    <row r="365" spans="2:96" ht="13.2" x14ac:dyDescent="0.2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17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</row>
    <row r="366" spans="2:96" ht="13.2" x14ac:dyDescent="0.2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17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</row>
    <row r="367" spans="2:96" ht="13.2" x14ac:dyDescent="0.2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17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</row>
    <row r="368" spans="2:96" ht="13.2" x14ac:dyDescent="0.2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17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</row>
    <row r="369" spans="2:96" ht="13.2" x14ac:dyDescent="0.2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17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</row>
    <row r="370" spans="2:96" ht="13.2" x14ac:dyDescent="0.2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17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</row>
    <row r="371" spans="2:96" ht="13.2" x14ac:dyDescent="0.2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17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</row>
    <row r="372" spans="2:96" ht="13.2" x14ac:dyDescent="0.2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17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</row>
    <row r="373" spans="2:96" ht="13.2" x14ac:dyDescent="0.2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17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</row>
    <row r="374" spans="2:96" ht="13.2" x14ac:dyDescent="0.2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17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</row>
    <row r="375" spans="2:96" ht="13.2" x14ac:dyDescent="0.2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17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</row>
    <row r="376" spans="2:96" ht="13.2" x14ac:dyDescent="0.2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17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</row>
    <row r="377" spans="2:96" ht="13.2" x14ac:dyDescent="0.2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17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</row>
    <row r="378" spans="2:96" ht="13.2" x14ac:dyDescent="0.2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17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</row>
    <row r="379" spans="2:96" ht="13.2" x14ac:dyDescent="0.2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17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</row>
    <row r="380" spans="2:96" ht="13.2" x14ac:dyDescent="0.2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17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</row>
    <row r="381" spans="2:96" ht="13.2" x14ac:dyDescent="0.2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17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</row>
    <row r="382" spans="2:96" ht="13.2" x14ac:dyDescent="0.2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17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</row>
    <row r="383" spans="2:96" ht="13.2" x14ac:dyDescent="0.2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17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</row>
    <row r="384" spans="2:96" ht="13.2" x14ac:dyDescent="0.2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17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</row>
    <row r="385" spans="2:96" ht="13.2" x14ac:dyDescent="0.2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17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</row>
    <row r="386" spans="2:96" ht="13.2" x14ac:dyDescent="0.2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17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</row>
    <row r="387" spans="2:96" ht="13.2" x14ac:dyDescent="0.2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17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</row>
    <row r="388" spans="2:96" ht="13.2" x14ac:dyDescent="0.2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17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</row>
    <row r="389" spans="2:96" ht="13.2" x14ac:dyDescent="0.2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17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</row>
    <row r="390" spans="2:96" ht="13.2" x14ac:dyDescent="0.2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17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</row>
    <row r="391" spans="2:96" ht="13.2" x14ac:dyDescent="0.2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17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</row>
    <row r="392" spans="2:96" ht="13.2" x14ac:dyDescent="0.2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17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</row>
    <row r="393" spans="2:96" ht="13.2" x14ac:dyDescent="0.2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17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</row>
    <row r="394" spans="2:96" ht="13.2" x14ac:dyDescent="0.2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17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</row>
    <row r="395" spans="2:96" ht="13.2" x14ac:dyDescent="0.2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17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</row>
    <row r="396" spans="2:96" ht="13.2" x14ac:dyDescent="0.2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17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</row>
    <row r="397" spans="2:96" ht="13.2" x14ac:dyDescent="0.2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17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</row>
    <row r="398" spans="2:96" ht="13.2" x14ac:dyDescent="0.2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17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</row>
    <row r="399" spans="2:96" ht="13.2" x14ac:dyDescent="0.2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17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</row>
    <row r="400" spans="2:96" ht="13.2" x14ac:dyDescent="0.2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17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</row>
    <row r="401" spans="2:96" ht="13.2" x14ac:dyDescent="0.2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17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</row>
    <row r="402" spans="2:96" ht="13.2" x14ac:dyDescent="0.2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17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</row>
    <row r="403" spans="2:96" ht="13.2" x14ac:dyDescent="0.2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17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</row>
    <row r="404" spans="2:96" ht="13.2" x14ac:dyDescent="0.2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17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</row>
    <row r="405" spans="2:96" ht="13.2" x14ac:dyDescent="0.2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17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</row>
    <row r="406" spans="2:96" ht="13.2" x14ac:dyDescent="0.2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17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</row>
    <row r="407" spans="2:96" ht="13.2" x14ac:dyDescent="0.2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17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</row>
    <row r="408" spans="2:96" ht="13.2" x14ac:dyDescent="0.2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17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</row>
    <row r="409" spans="2:96" ht="13.2" x14ac:dyDescent="0.2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17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</row>
    <row r="410" spans="2:96" ht="13.2" x14ac:dyDescent="0.2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17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</row>
    <row r="411" spans="2:96" ht="13.2" x14ac:dyDescent="0.2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17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</row>
    <row r="412" spans="2:96" ht="13.2" x14ac:dyDescent="0.2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17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</row>
    <row r="413" spans="2:96" ht="13.2" x14ac:dyDescent="0.2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17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</row>
    <row r="414" spans="2:96" ht="13.2" x14ac:dyDescent="0.2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17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</row>
    <row r="415" spans="2:96" ht="13.2" x14ac:dyDescent="0.2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17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</row>
    <row r="416" spans="2:96" ht="13.2" x14ac:dyDescent="0.2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17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</row>
    <row r="417" spans="2:96" ht="13.2" x14ac:dyDescent="0.2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17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</row>
    <row r="418" spans="2:96" ht="13.2" x14ac:dyDescent="0.2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17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</row>
    <row r="419" spans="2:96" ht="13.2" x14ac:dyDescent="0.2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17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</row>
    <row r="420" spans="2:96" ht="13.2" x14ac:dyDescent="0.2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17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</row>
    <row r="421" spans="2:96" ht="13.2" x14ac:dyDescent="0.2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17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</row>
    <row r="422" spans="2:96" ht="13.2" x14ac:dyDescent="0.2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17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</row>
    <row r="423" spans="2:96" ht="13.2" x14ac:dyDescent="0.2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17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</row>
    <row r="424" spans="2:96" ht="13.2" x14ac:dyDescent="0.2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17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</row>
    <row r="425" spans="2:96" ht="13.2" x14ac:dyDescent="0.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17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</row>
    <row r="426" spans="2:96" ht="13.2" x14ac:dyDescent="0.2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17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</row>
    <row r="427" spans="2:96" ht="13.2" x14ac:dyDescent="0.2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17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</row>
    <row r="428" spans="2:96" ht="13.2" x14ac:dyDescent="0.2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17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</row>
    <row r="429" spans="2:96" ht="13.2" x14ac:dyDescent="0.2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17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</row>
    <row r="430" spans="2:96" ht="13.2" x14ac:dyDescent="0.2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17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</row>
    <row r="431" spans="2:96" ht="13.2" x14ac:dyDescent="0.2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17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</row>
    <row r="432" spans="2:96" ht="13.2" x14ac:dyDescent="0.2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17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</row>
    <row r="433" spans="2:96" ht="13.2" x14ac:dyDescent="0.2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17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</row>
    <row r="434" spans="2:96" ht="13.2" x14ac:dyDescent="0.2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17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</row>
    <row r="435" spans="2:96" ht="13.2" x14ac:dyDescent="0.2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17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</row>
    <row r="436" spans="2:96" ht="13.2" x14ac:dyDescent="0.2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17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</row>
    <row r="437" spans="2:96" ht="13.2" x14ac:dyDescent="0.2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17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</row>
    <row r="438" spans="2:96" ht="13.2" x14ac:dyDescent="0.2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17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</row>
    <row r="439" spans="2:96" ht="13.2" x14ac:dyDescent="0.2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17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</row>
    <row r="440" spans="2:96" ht="13.2" x14ac:dyDescent="0.2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17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</row>
    <row r="441" spans="2:96" ht="13.2" x14ac:dyDescent="0.2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17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</row>
    <row r="442" spans="2:96" ht="13.2" x14ac:dyDescent="0.2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17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</row>
    <row r="443" spans="2:96" ht="13.2" x14ac:dyDescent="0.2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17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</row>
    <row r="444" spans="2:96" ht="13.2" x14ac:dyDescent="0.2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17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</row>
    <row r="445" spans="2:96" ht="13.2" x14ac:dyDescent="0.2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17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</row>
    <row r="446" spans="2:96" ht="13.2" x14ac:dyDescent="0.2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17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</row>
    <row r="447" spans="2:96" ht="13.2" x14ac:dyDescent="0.2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17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</row>
    <row r="448" spans="2:96" ht="13.2" x14ac:dyDescent="0.2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17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</row>
    <row r="449" spans="2:96" ht="13.2" x14ac:dyDescent="0.2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17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</row>
    <row r="450" spans="2:96" ht="13.2" x14ac:dyDescent="0.2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17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</row>
    <row r="451" spans="2:96" ht="13.2" x14ac:dyDescent="0.2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17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</row>
    <row r="452" spans="2:96" ht="13.2" x14ac:dyDescent="0.2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17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</row>
    <row r="453" spans="2:96" ht="13.2" x14ac:dyDescent="0.2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17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</row>
    <row r="454" spans="2:96" ht="13.2" x14ac:dyDescent="0.2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17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</row>
    <row r="455" spans="2:96" ht="13.2" x14ac:dyDescent="0.2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17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</row>
    <row r="456" spans="2:96" ht="13.2" x14ac:dyDescent="0.2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17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</row>
    <row r="457" spans="2:96" ht="13.2" x14ac:dyDescent="0.2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17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</row>
    <row r="458" spans="2:96" ht="13.2" x14ac:dyDescent="0.2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17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</row>
    <row r="459" spans="2:96" ht="13.2" x14ac:dyDescent="0.2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17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</row>
    <row r="460" spans="2:96" ht="13.2" x14ac:dyDescent="0.2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17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</row>
    <row r="461" spans="2:96" ht="13.2" x14ac:dyDescent="0.2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17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</row>
    <row r="462" spans="2:96" ht="13.2" x14ac:dyDescent="0.2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17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</row>
    <row r="463" spans="2:96" ht="13.2" x14ac:dyDescent="0.2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17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</row>
    <row r="464" spans="2:96" ht="13.2" x14ac:dyDescent="0.2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17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</row>
    <row r="465" spans="2:96" ht="13.2" x14ac:dyDescent="0.2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17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</row>
    <row r="466" spans="2:96" ht="13.2" x14ac:dyDescent="0.2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17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</row>
    <row r="467" spans="2:96" ht="13.2" x14ac:dyDescent="0.2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17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</row>
    <row r="468" spans="2:96" ht="13.2" x14ac:dyDescent="0.2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17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</row>
    <row r="469" spans="2:96" ht="13.2" x14ac:dyDescent="0.2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17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</row>
    <row r="470" spans="2:96" ht="13.2" x14ac:dyDescent="0.2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17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</row>
    <row r="471" spans="2:96" ht="13.2" x14ac:dyDescent="0.2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17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</row>
    <row r="472" spans="2:96" ht="13.2" x14ac:dyDescent="0.2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17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</row>
    <row r="473" spans="2:96" ht="13.2" x14ac:dyDescent="0.2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17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</row>
    <row r="474" spans="2:96" ht="13.2" x14ac:dyDescent="0.2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17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</row>
    <row r="475" spans="2:96" ht="13.2" x14ac:dyDescent="0.2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17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</row>
    <row r="476" spans="2:96" ht="13.2" x14ac:dyDescent="0.2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17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</row>
    <row r="477" spans="2:96" ht="13.2" x14ac:dyDescent="0.2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17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</row>
    <row r="478" spans="2:96" ht="13.2" x14ac:dyDescent="0.2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17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</row>
    <row r="479" spans="2:96" ht="13.2" x14ac:dyDescent="0.2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17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</row>
    <row r="480" spans="2:96" ht="13.2" x14ac:dyDescent="0.2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17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</row>
    <row r="481" spans="2:96" ht="13.2" x14ac:dyDescent="0.2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17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</row>
    <row r="482" spans="2:96" ht="13.2" x14ac:dyDescent="0.2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17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</row>
    <row r="483" spans="2:96" ht="13.2" x14ac:dyDescent="0.2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17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</row>
    <row r="484" spans="2:96" ht="13.2" x14ac:dyDescent="0.2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17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</row>
    <row r="485" spans="2:96" ht="13.2" x14ac:dyDescent="0.2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17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</row>
    <row r="486" spans="2:96" ht="13.2" x14ac:dyDescent="0.2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17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</row>
    <row r="487" spans="2:96" ht="13.2" x14ac:dyDescent="0.2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17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</row>
    <row r="488" spans="2:96" ht="13.2" x14ac:dyDescent="0.2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17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</row>
    <row r="489" spans="2:96" ht="13.2" x14ac:dyDescent="0.2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17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</row>
    <row r="490" spans="2:96" ht="13.2" x14ac:dyDescent="0.2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17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</row>
    <row r="491" spans="2:96" ht="13.2" x14ac:dyDescent="0.2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17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</row>
    <row r="492" spans="2:96" ht="13.2" x14ac:dyDescent="0.2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17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</row>
    <row r="493" spans="2:96" ht="13.2" x14ac:dyDescent="0.2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17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</row>
    <row r="494" spans="2:96" ht="13.2" x14ac:dyDescent="0.2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17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</row>
    <row r="495" spans="2:96" ht="13.2" x14ac:dyDescent="0.2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17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</row>
    <row r="496" spans="2:96" ht="13.2" x14ac:dyDescent="0.2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17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</row>
    <row r="497" spans="2:96" ht="13.2" x14ac:dyDescent="0.2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17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</row>
    <row r="498" spans="2:96" ht="13.2" x14ac:dyDescent="0.2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17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</row>
    <row r="499" spans="2:96" ht="13.2" x14ac:dyDescent="0.2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17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</row>
    <row r="500" spans="2:96" ht="13.2" x14ac:dyDescent="0.2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17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</row>
    <row r="501" spans="2:96" ht="13.2" x14ac:dyDescent="0.2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17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</row>
    <row r="502" spans="2:96" ht="13.2" x14ac:dyDescent="0.2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17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</row>
    <row r="503" spans="2:96" ht="13.2" x14ac:dyDescent="0.2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17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</row>
    <row r="504" spans="2:96" ht="13.2" x14ac:dyDescent="0.2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17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</row>
    <row r="505" spans="2:96" ht="13.2" x14ac:dyDescent="0.2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17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</row>
    <row r="506" spans="2:96" ht="13.2" x14ac:dyDescent="0.2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17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</row>
    <row r="507" spans="2:96" ht="13.2" x14ac:dyDescent="0.2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17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</row>
    <row r="508" spans="2:96" ht="13.2" x14ac:dyDescent="0.2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17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</row>
    <row r="509" spans="2:96" ht="13.2" x14ac:dyDescent="0.2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17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</row>
    <row r="510" spans="2:96" ht="13.2" x14ac:dyDescent="0.2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17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</row>
    <row r="511" spans="2:96" ht="13.2" x14ac:dyDescent="0.2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17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</row>
    <row r="512" spans="2:96" ht="13.2" x14ac:dyDescent="0.2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17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</row>
    <row r="513" spans="2:96" ht="13.2" x14ac:dyDescent="0.2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17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</row>
    <row r="514" spans="2:96" ht="13.2" x14ac:dyDescent="0.2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17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</row>
    <row r="515" spans="2:96" ht="13.2" x14ac:dyDescent="0.2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17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</row>
    <row r="516" spans="2:96" ht="13.2" x14ac:dyDescent="0.2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17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</row>
    <row r="517" spans="2:96" ht="13.2" x14ac:dyDescent="0.2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17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</row>
    <row r="518" spans="2:96" ht="13.2" x14ac:dyDescent="0.2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17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</row>
    <row r="519" spans="2:96" ht="13.2" x14ac:dyDescent="0.2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17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</row>
    <row r="520" spans="2:96" ht="13.2" x14ac:dyDescent="0.2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17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</row>
    <row r="521" spans="2:96" ht="13.2" x14ac:dyDescent="0.2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17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</row>
    <row r="522" spans="2:96" ht="13.2" x14ac:dyDescent="0.2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17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</row>
    <row r="523" spans="2:96" ht="13.2" x14ac:dyDescent="0.2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17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</row>
    <row r="524" spans="2:96" ht="13.2" x14ac:dyDescent="0.2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17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</row>
    <row r="525" spans="2:96" ht="13.2" x14ac:dyDescent="0.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17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</row>
    <row r="526" spans="2:96" ht="13.2" x14ac:dyDescent="0.2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17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</row>
    <row r="527" spans="2:96" ht="13.2" x14ac:dyDescent="0.2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17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</row>
    <row r="528" spans="2:96" ht="13.2" x14ac:dyDescent="0.2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17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</row>
    <row r="529" spans="2:96" ht="13.2" x14ac:dyDescent="0.2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17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</row>
    <row r="530" spans="2:96" ht="13.2" x14ac:dyDescent="0.2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17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</row>
    <row r="531" spans="2:96" ht="13.2" x14ac:dyDescent="0.2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17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</row>
    <row r="532" spans="2:96" ht="13.2" x14ac:dyDescent="0.2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17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</row>
    <row r="533" spans="2:96" ht="13.2" x14ac:dyDescent="0.2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17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</row>
    <row r="534" spans="2:96" ht="13.2" x14ac:dyDescent="0.2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17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</row>
    <row r="535" spans="2:96" ht="13.2" x14ac:dyDescent="0.2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17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</row>
    <row r="536" spans="2:96" ht="13.2" x14ac:dyDescent="0.2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17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</row>
    <row r="537" spans="2:96" ht="13.2" x14ac:dyDescent="0.2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17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</row>
    <row r="538" spans="2:96" ht="13.2" x14ac:dyDescent="0.2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17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</row>
    <row r="539" spans="2:96" ht="13.2" x14ac:dyDescent="0.2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17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</row>
    <row r="540" spans="2:96" ht="13.2" x14ac:dyDescent="0.2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17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</row>
    <row r="541" spans="2:96" ht="13.2" x14ac:dyDescent="0.2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17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</row>
    <row r="542" spans="2:96" ht="13.2" x14ac:dyDescent="0.2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17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</row>
    <row r="543" spans="2:96" ht="13.2" x14ac:dyDescent="0.2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17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</row>
    <row r="544" spans="2:96" ht="13.2" x14ac:dyDescent="0.2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17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</row>
    <row r="545" spans="2:96" ht="13.2" x14ac:dyDescent="0.2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17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</row>
    <row r="546" spans="2:96" ht="13.2" x14ac:dyDescent="0.2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17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</row>
    <row r="547" spans="2:96" ht="13.2" x14ac:dyDescent="0.2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17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</row>
    <row r="548" spans="2:96" ht="13.2" x14ac:dyDescent="0.2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17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</row>
    <row r="549" spans="2:96" ht="13.2" x14ac:dyDescent="0.2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17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</row>
    <row r="550" spans="2:96" ht="13.2" x14ac:dyDescent="0.2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17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</row>
    <row r="551" spans="2:96" ht="13.2" x14ac:dyDescent="0.2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17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</row>
    <row r="552" spans="2:96" ht="13.2" x14ac:dyDescent="0.2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17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</row>
    <row r="553" spans="2:96" ht="13.2" x14ac:dyDescent="0.2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17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</row>
    <row r="554" spans="2:96" ht="13.2" x14ac:dyDescent="0.2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17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</row>
    <row r="555" spans="2:96" ht="13.2" x14ac:dyDescent="0.2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17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</row>
    <row r="556" spans="2:96" ht="13.2" x14ac:dyDescent="0.2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17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</row>
    <row r="557" spans="2:96" ht="13.2" x14ac:dyDescent="0.2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17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</row>
    <row r="558" spans="2:96" ht="13.2" x14ac:dyDescent="0.2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17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</row>
    <row r="559" spans="2:96" ht="13.2" x14ac:dyDescent="0.2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17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</row>
    <row r="560" spans="2:96" ht="13.2" x14ac:dyDescent="0.2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17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</row>
    <row r="561" spans="2:96" ht="13.2" x14ac:dyDescent="0.2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17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</row>
    <row r="562" spans="2:96" ht="13.2" x14ac:dyDescent="0.2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17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</row>
    <row r="563" spans="2:96" ht="13.2" x14ac:dyDescent="0.2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17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</row>
    <row r="564" spans="2:96" ht="13.2" x14ac:dyDescent="0.2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17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</row>
    <row r="565" spans="2:96" ht="13.2" x14ac:dyDescent="0.2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17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</row>
    <row r="566" spans="2:96" ht="13.2" x14ac:dyDescent="0.2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17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</row>
    <row r="567" spans="2:96" ht="13.2" x14ac:dyDescent="0.2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17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</row>
    <row r="568" spans="2:96" ht="13.2" x14ac:dyDescent="0.2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17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</row>
    <row r="569" spans="2:96" ht="13.2" x14ac:dyDescent="0.2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17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</row>
    <row r="570" spans="2:96" ht="13.2" x14ac:dyDescent="0.2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17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</row>
    <row r="571" spans="2:96" ht="13.2" x14ac:dyDescent="0.2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17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</row>
    <row r="572" spans="2:96" ht="13.2" x14ac:dyDescent="0.2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17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</row>
    <row r="573" spans="2:96" ht="13.2" x14ac:dyDescent="0.2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17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</row>
    <row r="574" spans="2:96" ht="13.2" x14ac:dyDescent="0.2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17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</row>
    <row r="575" spans="2:96" ht="13.2" x14ac:dyDescent="0.2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17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</row>
    <row r="576" spans="2:96" ht="13.2" x14ac:dyDescent="0.2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17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</row>
    <row r="577" spans="2:96" ht="13.2" x14ac:dyDescent="0.2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17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</row>
    <row r="578" spans="2:96" ht="13.2" x14ac:dyDescent="0.2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17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</row>
    <row r="579" spans="2:96" ht="13.2" x14ac:dyDescent="0.2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17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</row>
    <row r="580" spans="2:96" ht="13.2" x14ac:dyDescent="0.2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17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</row>
    <row r="581" spans="2:96" ht="13.2" x14ac:dyDescent="0.2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17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</row>
    <row r="582" spans="2:96" ht="13.2" x14ac:dyDescent="0.2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17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</row>
    <row r="583" spans="2:96" ht="13.2" x14ac:dyDescent="0.2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17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</row>
    <row r="584" spans="2:96" ht="13.2" x14ac:dyDescent="0.2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17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</row>
    <row r="585" spans="2:96" ht="13.2" x14ac:dyDescent="0.2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17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</row>
    <row r="586" spans="2:96" ht="13.2" x14ac:dyDescent="0.2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17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</row>
    <row r="587" spans="2:96" ht="13.2" x14ac:dyDescent="0.2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17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</row>
    <row r="588" spans="2:96" ht="13.2" x14ac:dyDescent="0.2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17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</row>
    <row r="589" spans="2:96" ht="13.2" x14ac:dyDescent="0.2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17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</row>
    <row r="590" spans="2:96" ht="13.2" x14ac:dyDescent="0.2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17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</row>
    <row r="591" spans="2:96" ht="13.2" x14ac:dyDescent="0.2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17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</row>
    <row r="592" spans="2:96" ht="13.2" x14ac:dyDescent="0.2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17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</row>
    <row r="593" spans="2:96" ht="13.2" x14ac:dyDescent="0.2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17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</row>
    <row r="594" spans="2:96" ht="13.2" x14ac:dyDescent="0.2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17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</row>
    <row r="595" spans="2:96" ht="13.2" x14ac:dyDescent="0.2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17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</row>
    <row r="596" spans="2:96" ht="13.2" x14ac:dyDescent="0.2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17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</row>
    <row r="597" spans="2:96" ht="13.2" x14ac:dyDescent="0.2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17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</row>
    <row r="598" spans="2:96" ht="13.2" x14ac:dyDescent="0.2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17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</row>
    <row r="599" spans="2:96" ht="13.2" x14ac:dyDescent="0.2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17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</row>
    <row r="600" spans="2:96" ht="13.2" x14ac:dyDescent="0.2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17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</row>
    <row r="601" spans="2:96" ht="13.2" x14ac:dyDescent="0.2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17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</row>
    <row r="602" spans="2:96" ht="13.2" x14ac:dyDescent="0.2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17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</row>
    <row r="603" spans="2:96" ht="13.2" x14ac:dyDescent="0.2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17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</row>
    <row r="604" spans="2:96" ht="13.2" x14ac:dyDescent="0.2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17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</row>
    <row r="605" spans="2:96" ht="13.2" x14ac:dyDescent="0.2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17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</row>
    <row r="606" spans="2:96" ht="13.2" x14ac:dyDescent="0.2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17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</row>
    <row r="607" spans="2:96" ht="13.2" x14ac:dyDescent="0.2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17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</row>
    <row r="608" spans="2:96" ht="13.2" x14ac:dyDescent="0.2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17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</row>
    <row r="609" spans="2:96" ht="13.2" x14ac:dyDescent="0.2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17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</row>
    <row r="610" spans="2:96" ht="13.2" x14ac:dyDescent="0.2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17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</row>
    <row r="611" spans="2:96" ht="13.2" x14ac:dyDescent="0.2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17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</row>
    <row r="612" spans="2:96" ht="13.2" x14ac:dyDescent="0.2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17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</row>
    <row r="613" spans="2:96" ht="13.2" x14ac:dyDescent="0.2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17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</row>
    <row r="614" spans="2:96" ht="13.2" x14ac:dyDescent="0.2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17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</row>
    <row r="615" spans="2:96" ht="13.2" x14ac:dyDescent="0.2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17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</row>
    <row r="616" spans="2:96" ht="13.2" x14ac:dyDescent="0.2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17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</row>
    <row r="617" spans="2:96" ht="13.2" x14ac:dyDescent="0.2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17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</row>
    <row r="618" spans="2:96" ht="13.2" x14ac:dyDescent="0.2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17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</row>
    <row r="619" spans="2:96" ht="13.2" x14ac:dyDescent="0.2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17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</row>
    <row r="620" spans="2:96" ht="13.2" x14ac:dyDescent="0.2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17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</row>
    <row r="621" spans="2:96" ht="13.2" x14ac:dyDescent="0.2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17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</row>
    <row r="622" spans="2:96" ht="13.2" x14ac:dyDescent="0.2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17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</row>
    <row r="623" spans="2:96" ht="13.2" x14ac:dyDescent="0.2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17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</row>
    <row r="624" spans="2:96" ht="13.2" x14ac:dyDescent="0.2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17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</row>
    <row r="625" spans="2:96" ht="13.2" x14ac:dyDescent="0.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17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</row>
    <row r="626" spans="2:96" ht="13.2" x14ac:dyDescent="0.2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17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</row>
    <row r="627" spans="2:96" ht="13.2" x14ac:dyDescent="0.2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17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</row>
    <row r="628" spans="2:96" ht="13.2" x14ac:dyDescent="0.2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17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</row>
    <row r="629" spans="2:96" ht="13.2" x14ac:dyDescent="0.2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17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</row>
    <row r="630" spans="2:96" ht="13.2" x14ac:dyDescent="0.2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17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</row>
    <row r="631" spans="2:96" ht="13.2" x14ac:dyDescent="0.2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17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</row>
    <row r="632" spans="2:96" ht="13.2" x14ac:dyDescent="0.2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17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</row>
    <row r="633" spans="2:96" ht="13.2" x14ac:dyDescent="0.2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17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</row>
    <row r="634" spans="2:96" ht="13.2" x14ac:dyDescent="0.2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17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</row>
    <row r="635" spans="2:96" ht="13.2" x14ac:dyDescent="0.2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17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</row>
    <row r="636" spans="2:96" ht="13.2" x14ac:dyDescent="0.2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17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</row>
    <row r="637" spans="2:96" ht="13.2" x14ac:dyDescent="0.2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17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</row>
    <row r="638" spans="2:96" ht="13.2" x14ac:dyDescent="0.2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17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</row>
    <row r="639" spans="2:96" ht="13.2" x14ac:dyDescent="0.2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17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</row>
    <row r="640" spans="2:96" ht="13.2" x14ac:dyDescent="0.2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17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</row>
    <row r="641" spans="2:96" ht="13.2" x14ac:dyDescent="0.2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17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</row>
    <row r="642" spans="2:96" ht="13.2" x14ac:dyDescent="0.2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17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</row>
    <row r="643" spans="2:96" ht="13.2" x14ac:dyDescent="0.2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17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</row>
    <row r="644" spans="2:96" ht="13.2" x14ac:dyDescent="0.2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17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</row>
    <row r="645" spans="2:96" ht="13.2" x14ac:dyDescent="0.2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17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</row>
    <row r="646" spans="2:96" ht="13.2" x14ac:dyDescent="0.2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17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</row>
    <row r="647" spans="2:96" ht="13.2" x14ac:dyDescent="0.2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17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</row>
    <row r="648" spans="2:96" ht="13.2" x14ac:dyDescent="0.2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17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</row>
    <row r="649" spans="2:96" ht="13.2" x14ac:dyDescent="0.2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17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</row>
    <row r="650" spans="2:96" ht="13.2" x14ac:dyDescent="0.2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17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</row>
    <row r="651" spans="2:96" ht="13.2" x14ac:dyDescent="0.2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17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</row>
    <row r="652" spans="2:96" ht="13.2" x14ac:dyDescent="0.2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17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</row>
    <row r="653" spans="2:96" ht="13.2" x14ac:dyDescent="0.2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17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</row>
    <row r="654" spans="2:96" ht="13.2" x14ac:dyDescent="0.2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17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</row>
    <row r="655" spans="2:96" ht="13.2" x14ac:dyDescent="0.2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17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</row>
    <row r="656" spans="2:96" ht="13.2" x14ac:dyDescent="0.2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17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</row>
    <row r="657" spans="2:96" ht="13.2" x14ac:dyDescent="0.2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17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</row>
    <row r="658" spans="2:96" ht="13.2" x14ac:dyDescent="0.2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17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</row>
    <row r="659" spans="2:96" ht="13.2" x14ac:dyDescent="0.2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17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</row>
    <row r="660" spans="2:96" ht="13.2" x14ac:dyDescent="0.2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17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</row>
    <row r="661" spans="2:96" ht="13.2" x14ac:dyDescent="0.2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17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</row>
    <row r="662" spans="2:96" ht="13.2" x14ac:dyDescent="0.2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17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</row>
    <row r="663" spans="2:96" ht="13.2" x14ac:dyDescent="0.2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17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</row>
    <row r="664" spans="2:96" ht="13.2" x14ac:dyDescent="0.2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17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</row>
    <row r="665" spans="2:96" ht="13.2" x14ac:dyDescent="0.2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17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</row>
    <row r="666" spans="2:96" ht="13.2" x14ac:dyDescent="0.2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17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</row>
    <row r="667" spans="2:96" ht="13.2" x14ac:dyDescent="0.2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17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</row>
    <row r="668" spans="2:96" ht="13.2" x14ac:dyDescent="0.2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17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</row>
    <row r="669" spans="2:96" ht="13.2" x14ac:dyDescent="0.2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17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</row>
    <row r="670" spans="2:96" ht="13.2" x14ac:dyDescent="0.2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17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</row>
    <row r="671" spans="2:96" ht="13.2" x14ac:dyDescent="0.2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17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</row>
    <row r="672" spans="2:96" ht="13.2" x14ac:dyDescent="0.2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17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</row>
    <row r="673" spans="2:96" ht="13.2" x14ac:dyDescent="0.2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17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</row>
    <row r="674" spans="2:96" ht="13.2" x14ac:dyDescent="0.2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17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</row>
    <row r="675" spans="2:96" ht="13.2" x14ac:dyDescent="0.2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17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</row>
    <row r="676" spans="2:96" ht="13.2" x14ac:dyDescent="0.2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17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</row>
    <row r="677" spans="2:96" ht="13.2" x14ac:dyDescent="0.2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17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</row>
    <row r="678" spans="2:96" ht="13.2" x14ac:dyDescent="0.2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17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</row>
    <row r="679" spans="2:96" ht="13.2" x14ac:dyDescent="0.2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17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</row>
    <row r="680" spans="2:96" ht="13.2" x14ac:dyDescent="0.2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17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</row>
    <row r="681" spans="2:96" ht="13.2" x14ac:dyDescent="0.2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17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</row>
    <row r="682" spans="2:96" ht="13.2" x14ac:dyDescent="0.2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17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</row>
    <row r="683" spans="2:96" ht="13.2" x14ac:dyDescent="0.2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17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</row>
    <row r="684" spans="2:96" ht="13.2" x14ac:dyDescent="0.2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17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</row>
    <row r="685" spans="2:96" ht="13.2" x14ac:dyDescent="0.2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17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</row>
    <row r="686" spans="2:96" ht="13.2" x14ac:dyDescent="0.2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17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</row>
    <row r="687" spans="2:96" ht="13.2" x14ac:dyDescent="0.2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17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</row>
    <row r="688" spans="2:96" ht="13.2" x14ac:dyDescent="0.2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17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</row>
    <row r="689" spans="2:96" ht="13.2" x14ac:dyDescent="0.2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17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</row>
    <row r="690" spans="2:96" ht="13.2" x14ac:dyDescent="0.2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17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</row>
    <row r="691" spans="2:96" ht="13.2" x14ac:dyDescent="0.2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17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</row>
    <row r="692" spans="2:96" ht="13.2" x14ac:dyDescent="0.2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17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</row>
    <row r="693" spans="2:96" ht="13.2" x14ac:dyDescent="0.2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17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</row>
    <row r="694" spans="2:96" ht="13.2" x14ac:dyDescent="0.2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17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</row>
    <row r="695" spans="2:96" ht="13.2" x14ac:dyDescent="0.2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17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</row>
    <row r="696" spans="2:96" ht="13.2" x14ac:dyDescent="0.2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17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</row>
    <row r="697" spans="2:96" ht="13.2" x14ac:dyDescent="0.2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17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</row>
    <row r="698" spans="2:96" ht="13.2" x14ac:dyDescent="0.2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17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</row>
    <row r="699" spans="2:96" ht="13.2" x14ac:dyDescent="0.2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17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</row>
    <row r="700" spans="2:96" ht="13.2" x14ac:dyDescent="0.2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17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</row>
    <row r="701" spans="2:96" ht="13.2" x14ac:dyDescent="0.2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17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</row>
    <row r="702" spans="2:96" ht="13.2" x14ac:dyDescent="0.2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17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</row>
    <row r="703" spans="2:96" ht="13.2" x14ac:dyDescent="0.2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17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</row>
    <row r="704" spans="2:96" ht="13.2" x14ac:dyDescent="0.2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17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</row>
    <row r="705" spans="2:96" ht="13.2" x14ac:dyDescent="0.2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17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</row>
    <row r="706" spans="2:96" ht="13.2" x14ac:dyDescent="0.2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17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</row>
    <row r="707" spans="2:96" ht="13.2" x14ac:dyDescent="0.2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17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</row>
    <row r="708" spans="2:96" ht="13.2" x14ac:dyDescent="0.2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17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</row>
    <row r="709" spans="2:96" ht="13.2" x14ac:dyDescent="0.2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17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</row>
    <row r="710" spans="2:96" ht="13.2" x14ac:dyDescent="0.2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17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</row>
    <row r="711" spans="2:96" ht="13.2" x14ac:dyDescent="0.2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17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</row>
    <row r="712" spans="2:96" ht="13.2" x14ac:dyDescent="0.2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17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</row>
    <row r="713" spans="2:96" ht="13.2" x14ac:dyDescent="0.2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17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</row>
    <row r="714" spans="2:96" ht="13.2" x14ac:dyDescent="0.2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17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</row>
    <row r="715" spans="2:96" ht="13.2" x14ac:dyDescent="0.2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17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</row>
    <row r="716" spans="2:96" ht="13.2" x14ac:dyDescent="0.2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17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</row>
    <row r="717" spans="2:96" ht="13.2" x14ac:dyDescent="0.2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17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</row>
    <row r="718" spans="2:96" ht="13.2" x14ac:dyDescent="0.2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17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</row>
    <row r="719" spans="2:96" ht="13.2" x14ac:dyDescent="0.2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17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</row>
    <row r="720" spans="2:96" ht="13.2" x14ac:dyDescent="0.2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17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</row>
    <row r="721" spans="2:96" ht="13.2" x14ac:dyDescent="0.2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17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</row>
    <row r="722" spans="2:96" ht="13.2" x14ac:dyDescent="0.2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17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</row>
    <row r="723" spans="2:96" ht="13.2" x14ac:dyDescent="0.2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17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</row>
    <row r="724" spans="2:96" ht="13.2" x14ac:dyDescent="0.2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17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</row>
    <row r="725" spans="2:96" ht="13.2" x14ac:dyDescent="0.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17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</row>
    <row r="726" spans="2:96" ht="13.2" x14ac:dyDescent="0.2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17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</row>
    <row r="727" spans="2:96" ht="13.2" x14ac:dyDescent="0.2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17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</row>
    <row r="728" spans="2:96" ht="13.2" x14ac:dyDescent="0.2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17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</row>
    <row r="729" spans="2:96" ht="13.2" x14ac:dyDescent="0.2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17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</row>
    <row r="730" spans="2:96" ht="13.2" x14ac:dyDescent="0.2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17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</row>
    <row r="731" spans="2:96" ht="13.2" x14ac:dyDescent="0.2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17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</row>
    <row r="732" spans="2:96" ht="13.2" x14ac:dyDescent="0.2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17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</row>
    <row r="733" spans="2:96" ht="13.2" x14ac:dyDescent="0.2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17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</row>
    <row r="734" spans="2:96" ht="13.2" x14ac:dyDescent="0.2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17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</row>
    <row r="735" spans="2:96" ht="13.2" x14ac:dyDescent="0.2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17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</row>
    <row r="736" spans="2:96" ht="13.2" x14ac:dyDescent="0.2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17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</row>
    <row r="737" spans="2:96" ht="13.2" x14ac:dyDescent="0.2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17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</row>
    <row r="738" spans="2:96" ht="13.2" x14ac:dyDescent="0.2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17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</row>
    <row r="739" spans="2:96" ht="13.2" x14ac:dyDescent="0.2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17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</row>
    <row r="740" spans="2:96" ht="13.2" x14ac:dyDescent="0.2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17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</row>
    <row r="741" spans="2:96" ht="13.2" x14ac:dyDescent="0.2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17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</row>
    <row r="742" spans="2:96" ht="13.2" x14ac:dyDescent="0.2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17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</row>
    <row r="743" spans="2:96" ht="13.2" x14ac:dyDescent="0.2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17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</row>
    <row r="744" spans="2:96" ht="13.2" x14ac:dyDescent="0.2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17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</row>
    <row r="745" spans="2:96" ht="13.2" x14ac:dyDescent="0.2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17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</row>
    <row r="746" spans="2:96" ht="13.2" x14ac:dyDescent="0.2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17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</row>
    <row r="747" spans="2:96" ht="13.2" x14ac:dyDescent="0.2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17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</row>
    <row r="748" spans="2:96" ht="13.2" x14ac:dyDescent="0.2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17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</row>
    <row r="749" spans="2:96" ht="13.2" x14ac:dyDescent="0.2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17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</row>
    <row r="750" spans="2:96" ht="13.2" x14ac:dyDescent="0.2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17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</row>
    <row r="751" spans="2:96" ht="13.2" x14ac:dyDescent="0.2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17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</row>
    <row r="752" spans="2:96" ht="13.2" x14ac:dyDescent="0.2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17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</row>
    <row r="753" spans="2:96" ht="13.2" x14ac:dyDescent="0.2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17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</row>
    <row r="754" spans="2:96" ht="13.2" x14ac:dyDescent="0.2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17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</row>
    <row r="755" spans="2:96" ht="13.2" x14ac:dyDescent="0.2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17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</row>
    <row r="756" spans="2:96" ht="13.2" x14ac:dyDescent="0.2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17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</row>
    <row r="757" spans="2:96" ht="13.2" x14ac:dyDescent="0.2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17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</row>
    <row r="758" spans="2:96" ht="13.2" x14ac:dyDescent="0.2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17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</row>
    <row r="759" spans="2:96" ht="13.2" x14ac:dyDescent="0.2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17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</row>
    <row r="760" spans="2:96" ht="13.2" x14ac:dyDescent="0.2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17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</row>
    <row r="761" spans="2:96" ht="13.2" x14ac:dyDescent="0.2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17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</row>
    <row r="762" spans="2:96" ht="13.2" x14ac:dyDescent="0.2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17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</row>
    <row r="763" spans="2:96" ht="13.2" x14ac:dyDescent="0.2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17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</row>
    <row r="764" spans="2:96" ht="13.2" x14ac:dyDescent="0.2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17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</row>
    <row r="765" spans="2:96" ht="13.2" x14ac:dyDescent="0.2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17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</row>
    <row r="766" spans="2:96" ht="13.2" x14ac:dyDescent="0.2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17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</row>
    <row r="767" spans="2:96" ht="13.2" x14ac:dyDescent="0.2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17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</row>
    <row r="768" spans="2:96" ht="13.2" x14ac:dyDescent="0.2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17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</row>
    <row r="769" spans="2:96" ht="13.2" x14ac:dyDescent="0.2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17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</row>
    <row r="770" spans="2:96" ht="13.2" x14ac:dyDescent="0.2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17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</row>
    <row r="771" spans="2:96" ht="13.2" x14ac:dyDescent="0.2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17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</row>
    <row r="772" spans="2:96" ht="13.2" x14ac:dyDescent="0.2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17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</row>
    <row r="773" spans="2:96" ht="13.2" x14ac:dyDescent="0.2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17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</row>
    <row r="774" spans="2:96" ht="13.2" x14ac:dyDescent="0.2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17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</row>
    <row r="775" spans="2:96" ht="13.2" x14ac:dyDescent="0.2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17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</row>
    <row r="776" spans="2:96" ht="13.2" x14ac:dyDescent="0.2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17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</row>
    <row r="777" spans="2:96" ht="13.2" x14ac:dyDescent="0.2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17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</row>
    <row r="778" spans="2:96" ht="13.2" x14ac:dyDescent="0.2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17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</row>
    <row r="779" spans="2:96" ht="13.2" x14ac:dyDescent="0.2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17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</row>
    <row r="780" spans="2:96" ht="13.2" x14ac:dyDescent="0.2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17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</row>
    <row r="781" spans="2:96" ht="13.2" x14ac:dyDescent="0.2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17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</row>
    <row r="782" spans="2:96" ht="13.2" x14ac:dyDescent="0.2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17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</row>
    <row r="783" spans="2:96" ht="13.2" x14ac:dyDescent="0.2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17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</row>
    <row r="784" spans="2:96" ht="13.2" x14ac:dyDescent="0.2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17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</row>
    <row r="785" spans="2:96" ht="13.2" x14ac:dyDescent="0.2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17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</row>
    <row r="786" spans="2:96" ht="13.2" x14ac:dyDescent="0.2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17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</row>
    <row r="787" spans="2:96" ht="13.2" x14ac:dyDescent="0.2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17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</row>
    <row r="788" spans="2:96" ht="13.2" x14ac:dyDescent="0.2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17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</row>
    <row r="789" spans="2:96" ht="13.2" x14ac:dyDescent="0.2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17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</row>
    <row r="790" spans="2:96" ht="13.2" x14ac:dyDescent="0.2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17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</row>
    <row r="791" spans="2:96" ht="13.2" x14ac:dyDescent="0.2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17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</row>
    <row r="792" spans="2:96" ht="13.2" x14ac:dyDescent="0.2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17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</row>
    <row r="793" spans="2:96" ht="13.2" x14ac:dyDescent="0.2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17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</row>
    <row r="794" spans="2:96" ht="13.2" x14ac:dyDescent="0.2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17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</row>
    <row r="795" spans="2:96" ht="13.2" x14ac:dyDescent="0.2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17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</row>
    <row r="796" spans="2:96" ht="13.2" x14ac:dyDescent="0.2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17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</row>
    <row r="797" spans="2:96" ht="13.2" x14ac:dyDescent="0.2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17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</row>
    <row r="798" spans="2:96" ht="13.2" x14ac:dyDescent="0.2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17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</row>
    <row r="799" spans="2:96" ht="13.2" x14ac:dyDescent="0.2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17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</row>
    <row r="800" spans="2:96" ht="13.2" x14ac:dyDescent="0.2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17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</row>
    <row r="801" spans="2:96" ht="13.2" x14ac:dyDescent="0.2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17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</row>
    <row r="802" spans="2:96" ht="13.2" x14ac:dyDescent="0.2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17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</row>
    <row r="803" spans="2:96" ht="13.2" x14ac:dyDescent="0.2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17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</row>
    <row r="804" spans="2:96" ht="13.2" x14ac:dyDescent="0.2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17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</row>
    <row r="805" spans="2:96" ht="13.2" x14ac:dyDescent="0.2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17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</row>
    <row r="806" spans="2:96" ht="13.2" x14ac:dyDescent="0.2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17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</row>
    <row r="807" spans="2:96" ht="13.2" x14ac:dyDescent="0.2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17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</row>
    <row r="808" spans="2:96" ht="13.2" x14ac:dyDescent="0.2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17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</row>
    <row r="809" spans="2:96" ht="13.2" x14ac:dyDescent="0.2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17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</row>
    <row r="810" spans="2:96" ht="13.2" x14ac:dyDescent="0.2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17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</row>
    <row r="811" spans="2:96" ht="13.2" x14ac:dyDescent="0.2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17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</row>
    <row r="812" spans="2:96" ht="13.2" x14ac:dyDescent="0.2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17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</row>
    <row r="813" spans="2:96" ht="13.2" x14ac:dyDescent="0.2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17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</row>
    <row r="814" spans="2:96" ht="13.2" x14ac:dyDescent="0.2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17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</row>
    <row r="815" spans="2:96" ht="13.2" x14ac:dyDescent="0.2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17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</row>
    <row r="816" spans="2:96" ht="13.2" x14ac:dyDescent="0.2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17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</row>
    <row r="817" spans="2:96" ht="13.2" x14ac:dyDescent="0.2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17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</row>
    <row r="818" spans="2:96" ht="13.2" x14ac:dyDescent="0.2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17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</row>
    <row r="819" spans="2:96" ht="13.2" x14ac:dyDescent="0.2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17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</row>
    <row r="820" spans="2:96" ht="13.2" x14ac:dyDescent="0.2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17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</row>
    <row r="821" spans="2:96" ht="13.2" x14ac:dyDescent="0.2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17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</row>
    <row r="822" spans="2:96" ht="13.2" x14ac:dyDescent="0.2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17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</row>
    <row r="823" spans="2:96" ht="13.2" x14ac:dyDescent="0.2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17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</row>
    <row r="824" spans="2:96" ht="13.2" x14ac:dyDescent="0.2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17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</row>
    <row r="825" spans="2:96" ht="13.2" x14ac:dyDescent="0.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17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</row>
    <row r="826" spans="2:96" ht="13.2" x14ac:dyDescent="0.2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17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</row>
    <row r="827" spans="2:96" ht="13.2" x14ac:dyDescent="0.2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17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</row>
    <row r="828" spans="2:96" ht="13.2" x14ac:dyDescent="0.2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17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</row>
    <row r="829" spans="2:96" ht="13.2" x14ac:dyDescent="0.2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17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</row>
    <row r="830" spans="2:96" ht="13.2" x14ac:dyDescent="0.2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17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</row>
    <row r="831" spans="2:96" ht="13.2" x14ac:dyDescent="0.2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17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</row>
    <row r="832" spans="2:96" ht="13.2" x14ac:dyDescent="0.2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17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</row>
    <row r="833" spans="2:96" ht="13.2" x14ac:dyDescent="0.2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17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</row>
    <row r="834" spans="2:96" ht="13.2" x14ac:dyDescent="0.2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17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</row>
    <row r="835" spans="2:96" ht="13.2" x14ac:dyDescent="0.2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17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</row>
    <row r="836" spans="2:96" ht="13.2" x14ac:dyDescent="0.2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17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</row>
    <row r="837" spans="2:96" ht="13.2" x14ac:dyDescent="0.2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17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</row>
    <row r="838" spans="2:96" ht="13.2" x14ac:dyDescent="0.2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17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</row>
    <row r="839" spans="2:96" ht="13.2" x14ac:dyDescent="0.2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17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</row>
    <row r="840" spans="2:96" ht="13.2" x14ac:dyDescent="0.2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17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</row>
    <row r="841" spans="2:96" ht="13.2" x14ac:dyDescent="0.2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17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</row>
    <row r="842" spans="2:96" ht="13.2" x14ac:dyDescent="0.2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17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</row>
    <row r="843" spans="2:96" ht="13.2" x14ac:dyDescent="0.2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17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</row>
    <row r="844" spans="2:96" ht="13.2" x14ac:dyDescent="0.2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17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</row>
    <row r="845" spans="2:96" ht="13.2" x14ac:dyDescent="0.2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17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</row>
    <row r="846" spans="2:96" ht="13.2" x14ac:dyDescent="0.2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17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</row>
    <row r="847" spans="2:96" ht="13.2" x14ac:dyDescent="0.2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17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</row>
    <row r="848" spans="2:96" ht="13.2" x14ac:dyDescent="0.2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17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</row>
    <row r="849" spans="2:96" ht="13.2" x14ac:dyDescent="0.2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17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</row>
    <row r="850" spans="2:96" ht="13.2" x14ac:dyDescent="0.2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17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</row>
    <row r="851" spans="2:96" ht="13.2" x14ac:dyDescent="0.2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17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</row>
    <row r="852" spans="2:96" ht="13.2" x14ac:dyDescent="0.2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17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</row>
    <row r="853" spans="2:96" ht="13.2" x14ac:dyDescent="0.2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17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</row>
    <row r="854" spans="2:96" ht="13.2" x14ac:dyDescent="0.2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17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</row>
    <row r="855" spans="2:96" ht="13.2" x14ac:dyDescent="0.2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17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</row>
    <row r="856" spans="2:96" ht="13.2" x14ac:dyDescent="0.2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17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</row>
    <row r="857" spans="2:96" ht="13.2" x14ac:dyDescent="0.2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17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</row>
    <row r="858" spans="2:96" ht="13.2" x14ac:dyDescent="0.2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17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</row>
    <row r="859" spans="2:96" ht="13.2" x14ac:dyDescent="0.2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17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</row>
    <row r="860" spans="2:96" ht="13.2" x14ac:dyDescent="0.2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17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</row>
    <row r="861" spans="2:96" ht="13.2" x14ac:dyDescent="0.2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17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</row>
    <row r="862" spans="2:96" ht="13.2" x14ac:dyDescent="0.2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17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</row>
    <row r="863" spans="2:96" ht="13.2" x14ac:dyDescent="0.2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17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</row>
    <row r="864" spans="2:96" ht="13.2" x14ac:dyDescent="0.2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17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</row>
    <row r="865" spans="2:96" ht="13.2" x14ac:dyDescent="0.2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17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</row>
    <row r="866" spans="2:96" ht="13.2" x14ac:dyDescent="0.2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17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</row>
    <row r="867" spans="2:96" ht="13.2" x14ac:dyDescent="0.2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17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</row>
    <row r="868" spans="2:96" ht="13.2" x14ac:dyDescent="0.2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17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</row>
    <row r="869" spans="2:96" ht="13.2" x14ac:dyDescent="0.2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17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</row>
    <row r="870" spans="2:96" ht="13.2" x14ac:dyDescent="0.2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17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</row>
    <row r="871" spans="2:96" ht="13.2" x14ac:dyDescent="0.2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17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</row>
    <row r="872" spans="2:96" ht="13.2" x14ac:dyDescent="0.2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17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</row>
    <row r="873" spans="2:96" ht="13.2" x14ac:dyDescent="0.2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17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</row>
    <row r="874" spans="2:96" ht="13.2" x14ac:dyDescent="0.2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17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</row>
    <row r="875" spans="2:96" ht="13.2" x14ac:dyDescent="0.2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17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</row>
    <row r="876" spans="2:96" ht="13.2" x14ac:dyDescent="0.2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17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</row>
    <row r="877" spans="2:96" ht="13.2" x14ac:dyDescent="0.2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17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</row>
    <row r="878" spans="2:96" ht="13.2" x14ac:dyDescent="0.2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17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</row>
    <row r="879" spans="2:96" ht="13.2" x14ac:dyDescent="0.2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17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</row>
    <row r="880" spans="2:96" ht="13.2" x14ac:dyDescent="0.2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17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</row>
    <row r="881" spans="2:96" ht="13.2" x14ac:dyDescent="0.2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17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</row>
    <row r="882" spans="2:96" ht="13.2" x14ac:dyDescent="0.2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17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</row>
    <row r="883" spans="2:96" ht="13.2" x14ac:dyDescent="0.2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17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</row>
    <row r="884" spans="2:96" ht="13.2" x14ac:dyDescent="0.2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17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</row>
    <row r="885" spans="2:96" ht="13.2" x14ac:dyDescent="0.2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17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</row>
    <row r="886" spans="2:96" ht="13.2" x14ac:dyDescent="0.2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17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</row>
    <row r="887" spans="2:96" ht="13.2" x14ac:dyDescent="0.2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17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</row>
    <row r="888" spans="2:96" ht="13.2" x14ac:dyDescent="0.2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17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</row>
    <row r="889" spans="2:96" ht="13.2" x14ac:dyDescent="0.2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17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</row>
    <row r="890" spans="2:96" ht="13.2" x14ac:dyDescent="0.2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17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</row>
    <row r="891" spans="2:96" ht="13.2" x14ac:dyDescent="0.2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17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</row>
    <row r="892" spans="2:96" ht="13.2" x14ac:dyDescent="0.2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17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</row>
    <row r="893" spans="2:96" ht="13.2" x14ac:dyDescent="0.2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17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</row>
    <row r="894" spans="2:96" ht="13.2" x14ac:dyDescent="0.2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17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</row>
    <row r="895" spans="2:96" ht="13.2" x14ac:dyDescent="0.2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17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</row>
    <row r="896" spans="2:96" ht="13.2" x14ac:dyDescent="0.2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17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</row>
    <row r="897" spans="2:96" ht="13.2" x14ac:dyDescent="0.2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17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</row>
    <row r="898" spans="2:96" ht="13.2" x14ac:dyDescent="0.2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17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</row>
    <row r="899" spans="2:96" ht="13.2" x14ac:dyDescent="0.2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17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</row>
    <row r="900" spans="2:96" ht="13.2" x14ac:dyDescent="0.2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17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</row>
    <row r="901" spans="2:96" ht="13.2" x14ac:dyDescent="0.2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17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</row>
    <row r="902" spans="2:96" ht="13.2" x14ac:dyDescent="0.2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17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</row>
    <row r="903" spans="2:96" ht="13.2" x14ac:dyDescent="0.2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17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</row>
    <row r="904" spans="2:96" ht="13.2" x14ac:dyDescent="0.2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17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</row>
    <row r="905" spans="2:96" ht="13.2" x14ac:dyDescent="0.2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17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</row>
    <row r="906" spans="2:96" ht="13.2" x14ac:dyDescent="0.2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17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</row>
    <row r="907" spans="2:96" ht="13.2" x14ac:dyDescent="0.2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17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</row>
    <row r="908" spans="2:96" ht="13.2" x14ac:dyDescent="0.2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17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</row>
    <row r="909" spans="2:96" ht="13.2" x14ac:dyDescent="0.2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17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</row>
    <row r="910" spans="2:96" ht="13.2" x14ac:dyDescent="0.2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17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</row>
    <row r="911" spans="2:96" ht="13.2" x14ac:dyDescent="0.2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17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</row>
    <row r="912" spans="2:96" ht="13.2" x14ac:dyDescent="0.2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17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</row>
    <row r="913" spans="2:96" ht="13.2" x14ac:dyDescent="0.2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17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</row>
    <row r="914" spans="2:96" ht="13.2" x14ac:dyDescent="0.2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17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</row>
    <row r="915" spans="2:96" ht="13.2" x14ac:dyDescent="0.2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17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</row>
    <row r="916" spans="2:96" ht="13.2" x14ac:dyDescent="0.2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17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</row>
    <row r="917" spans="2:96" ht="13.2" x14ac:dyDescent="0.2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17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</row>
    <row r="918" spans="2:96" ht="13.2" x14ac:dyDescent="0.2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17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</row>
    <row r="919" spans="2:96" ht="13.2" x14ac:dyDescent="0.2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17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</row>
    <row r="920" spans="2:96" ht="13.2" x14ac:dyDescent="0.2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17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</row>
    <row r="921" spans="2:96" ht="13.2" x14ac:dyDescent="0.2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17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</row>
    <row r="922" spans="2:96" ht="13.2" x14ac:dyDescent="0.2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17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</row>
    <row r="923" spans="2:96" ht="13.2" x14ac:dyDescent="0.2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17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</row>
    <row r="924" spans="2:96" ht="13.2" x14ac:dyDescent="0.2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17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</row>
    <row r="925" spans="2:96" ht="13.2" x14ac:dyDescent="0.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17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</row>
    <row r="926" spans="2:96" ht="13.2" x14ac:dyDescent="0.2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17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</row>
    <row r="927" spans="2:96" ht="13.2" x14ac:dyDescent="0.2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17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</row>
    <row r="928" spans="2:96" ht="13.2" x14ac:dyDescent="0.2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17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</row>
    <row r="929" spans="2:96" ht="13.2" x14ac:dyDescent="0.2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17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</row>
    <row r="930" spans="2:96" ht="13.2" x14ac:dyDescent="0.2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17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</row>
    <row r="931" spans="2:96" ht="13.2" x14ac:dyDescent="0.2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17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</row>
    <row r="932" spans="2:96" ht="13.2" x14ac:dyDescent="0.2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17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</row>
    <row r="933" spans="2:96" ht="13.2" x14ac:dyDescent="0.2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17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</row>
    <row r="934" spans="2:96" ht="13.2" x14ac:dyDescent="0.2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17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</row>
    <row r="935" spans="2:96" ht="13.2" x14ac:dyDescent="0.2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17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</row>
    <row r="936" spans="2:96" ht="13.2" x14ac:dyDescent="0.2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17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</row>
    <row r="937" spans="2:96" ht="13.2" x14ac:dyDescent="0.2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17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</row>
    <row r="938" spans="2:96" ht="13.2" x14ac:dyDescent="0.2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17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</row>
    <row r="939" spans="2:96" ht="13.2" x14ac:dyDescent="0.2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17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</row>
    <row r="940" spans="2:96" ht="13.2" x14ac:dyDescent="0.2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17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</row>
    <row r="941" spans="2:96" ht="13.2" x14ac:dyDescent="0.2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17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</row>
    <row r="942" spans="2:96" ht="13.2" x14ac:dyDescent="0.2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17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</row>
    <row r="943" spans="2:96" ht="13.2" x14ac:dyDescent="0.2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17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</row>
    <row r="944" spans="2:96" ht="13.2" x14ac:dyDescent="0.2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17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</row>
    <row r="945" spans="2:96" ht="13.2" x14ac:dyDescent="0.2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17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</row>
    <row r="946" spans="2:96" ht="13.2" x14ac:dyDescent="0.2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17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</row>
    <row r="947" spans="2:96" ht="13.2" x14ac:dyDescent="0.2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17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</row>
    <row r="948" spans="2:96" ht="13.2" x14ac:dyDescent="0.2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17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</row>
    <row r="949" spans="2:96" ht="13.2" x14ac:dyDescent="0.2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17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</row>
    <row r="950" spans="2:96" ht="13.2" x14ac:dyDescent="0.2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17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</row>
    <row r="951" spans="2:96" ht="13.2" x14ac:dyDescent="0.2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17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</row>
    <row r="952" spans="2:96" ht="13.2" x14ac:dyDescent="0.2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17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</row>
    <row r="953" spans="2:96" ht="13.2" x14ac:dyDescent="0.2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17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</row>
    <row r="954" spans="2:96" ht="13.2" x14ac:dyDescent="0.2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17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</row>
    <row r="955" spans="2:96" ht="13.2" x14ac:dyDescent="0.2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17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</row>
    <row r="956" spans="2:96" ht="13.2" x14ac:dyDescent="0.2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17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</row>
    <row r="957" spans="2:96" ht="13.2" x14ac:dyDescent="0.2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17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</row>
    <row r="958" spans="2:96" ht="13.2" x14ac:dyDescent="0.2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17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</row>
    <row r="959" spans="2:96" ht="13.2" x14ac:dyDescent="0.2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17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</row>
    <row r="960" spans="2:96" ht="13.2" x14ac:dyDescent="0.2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17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</row>
    <row r="961" spans="2:96" ht="13.2" x14ac:dyDescent="0.2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17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</row>
    <row r="962" spans="2:96" ht="13.2" x14ac:dyDescent="0.2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17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</row>
    <row r="963" spans="2:96" ht="13.2" x14ac:dyDescent="0.2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17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</row>
    <row r="964" spans="2:96" ht="13.2" x14ac:dyDescent="0.2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17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</row>
    <row r="965" spans="2:96" ht="13.2" x14ac:dyDescent="0.2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17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</row>
    <row r="966" spans="2:96" ht="13.2" x14ac:dyDescent="0.2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17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</row>
    <row r="967" spans="2:96" ht="13.2" x14ac:dyDescent="0.2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17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</row>
    <row r="968" spans="2:96" ht="13.2" x14ac:dyDescent="0.2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17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</row>
    <row r="969" spans="2:96" ht="13.2" x14ac:dyDescent="0.2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17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</row>
    <row r="970" spans="2:96" ht="13.2" x14ac:dyDescent="0.2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17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</row>
    <row r="971" spans="2:96" ht="13.2" x14ac:dyDescent="0.2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17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</row>
    <row r="972" spans="2:96" ht="13.2" x14ac:dyDescent="0.2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17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</row>
    <row r="973" spans="2:96" ht="13.2" x14ac:dyDescent="0.2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17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</row>
    <row r="974" spans="2:96" ht="13.2" x14ac:dyDescent="0.2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17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</row>
    <row r="975" spans="2:96" ht="13.2" x14ac:dyDescent="0.2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17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</row>
    <row r="976" spans="2:96" ht="13.2" x14ac:dyDescent="0.2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17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</row>
    <row r="977" spans="2:96" ht="13.2" x14ac:dyDescent="0.25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17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</row>
    <row r="978" spans="2:96" ht="13.2" x14ac:dyDescent="0.25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17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</row>
    <row r="979" spans="2:96" ht="13.2" x14ac:dyDescent="0.25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17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</row>
    <row r="980" spans="2:96" ht="13.2" x14ac:dyDescent="0.25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17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</row>
    <row r="981" spans="2:96" ht="13.2" x14ac:dyDescent="0.25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17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</row>
    <row r="982" spans="2:96" ht="13.2" x14ac:dyDescent="0.25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17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</row>
    <row r="983" spans="2:96" ht="13.2" x14ac:dyDescent="0.25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17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</row>
    <row r="984" spans="2:96" ht="15.75" customHeight="1" x14ac:dyDescent="0.25">
      <c r="N984" s="2"/>
      <c r="O984" s="2"/>
      <c r="P984" s="17"/>
      <c r="Q984" s="2"/>
      <c r="R984" s="2"/>
      <c r="S984" s="2"/>
    </row>
  </sheetData>
  <mergeCells count="58">
    <mergeCell ref="CN1:CO1"/>
    <mergeCell ref="BO2:BS2"/>
    <mergeCell ref="BT2:BX2"/>
    <mergeCell ref="CD2:CH2"/>
    <mergeCell ref="CI2:CM2"/>
    <mergeCell ref="CN2:CR2"/>
    <mergeCell ref="CQ1:CR1"/>
    <mergeCell ref="BY2:CC2"/>
    <mergeCell ref="CD1:CE1"/>
    <mergeCell ref="CG1:CH1"/>
    <mergeCell ref="CI1:CJ1"/>
    <mergeCell ref="CL1:CM1"/>
    <mergeCell ref="BW1:BX1"/>
    <mergeCell ref="BY1:BZ1"/>
    <mergeCell ref="CB1:CC1"/>
    <mergeCell ref="BJ1:BK1"/>
    <mergeCell ref="BC1:BD1"/>
    <mergeCell ref="BO1:BP1"/>
    <mergeCell ref="BT1:BU1"/>
    <mergeCell ref="BM1:BN1"/>
    <mergeCell ref="BR1:BS1"/>
    <mergeCell ref="BJ2:BN2"/>
    <mergeCell ref="V2:Z2"/>
    <mergeCell ref="AA2:AE2"/>
    <mergeCell ref="AF2:AJ2"/>
    <mergeCell ref="AK2:AO2"/>
    <mergeCell ref="AP2:AT2"/>
    <mergeCell ref="AU2:AY2"/>
    <mergeCell ref="AZ2:BD2"/>
    <mergeCell ref="BE2:BI2"/>
    <mergeCell ref="A1:A3"/>
    <mergeCell ref="B1:C1"/>
    <mergeCell ref="E1:F1"/>
    <mergeCell ref="L1:M1"/>
    <mergeCell ref="B2:F2"/>
    <mergeCell ref="G2:K2"/>
    <mergeCell ref="G1:H1"/>
    <mergeCell ref="J1:K1"/>
    <mergeCell ref="L2:P2"/>
    <mergeCell ref="Q2:U2"/>
    <mergeCell ref="O1:P1"/>
    <mergeCell ref="Q1:R1"/>
    <mergeCell ref="V1:W1"/>
    <mergeCell ref="T1:U1"/>
    <mergeCell ref="Y1:Z1"/>
    <mergeCell ref="AD1:AE1"/>
    <mergeCell ref="AN1:AO1"/>
    <mergeCell ref="AX1:AY1"/>
    <mergeCell ref="BH1:BI1"/>
    <mergeCell ref="AA1:AB1"/>
    <mergeCell ref="AK1:AL1"/>
    <mergeCell ref="AF1:AG1"/>
    <mergeCell ref="AI1:AJ1"/>
    <mergeCell ref="AZ1:BA1"/>
    <mergeCell ref="AS1:AT1"/>
    <mergeCell ref="AP1:AQ1"/>
    <mergeCell ref="AU1:AV1"/>
    <mergeCell ref="BE1:BF1"/>
  </mergeCells>
  <conditionalFormatting sqref="K14:K18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Presentación</vt:lpstr>
      <vt:lpstr>1ro.ICS</vt:lpstr>
      <vt:lpstr>2do.ICS</vt:lpstr>
      <vt:lpstr>3ro.ICS</vt:lpstr>
      <vt:lpstr>4to.ICS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Raúl González Brito</dc:creator>
  <cp:lastModifiedBy>ANTONIO HERNÁNDEZ DOMINGUEZ</cp:lastModifiedBy>
  <dcterms:created xsi:type="dcterms:W3CDTF">2023-12-25T14:32:23Z</dcterms:created>
  <dcterms:modified xsi:type="dcterms:W3CDTF">2025-09-25T18:34:54Z</dcterms:modified>
</cp:coreProperties>
</file>